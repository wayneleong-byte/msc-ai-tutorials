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charts/chart1.xml" ContentType="application/vnd.openxmlformats-officedocument.drawingml.char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showObjects="all" backupFile="0"/>
  <workbookProtection/>
  <bookViews>
    <workbookView activeTab="0"/>
  </bookViews>
  <sheets>
    <sheet name="小測1_力與運動" sheetId="1" r:id="rId3"/>
    <sheet name="小測1_題目考點" sheetId="2" r:id="rId4"/>
    <sheet name="期中各科成績" sheetId="3" r:id="rId5"/>
    <sheet name="說明" sheetId="4" r:id="rId6"/>
    <sheet name="小測1_分析報告" sheetId="5" r:id="rId7"/>
  </sheets>
  <calcPr refMode="A1" iterate="0" iterateCount="100" iterateDelta="0.0001"/>
</workbook>
</file>

<file path=xl/sharedStrings.xml><?xml version="1.0" encoding="utf-8"?>
<sst xmlns="http://schemas.openxmlformats.org/spreadsheetml/2006/main" count="127" uniqueCount="127">
  <si>
    <t/>
  </si>
  <si>
    <t>學號</t>
  </si>
  <si>
    <t>姓名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</si>
  <si>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</si>
  <si>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</si>
  <si>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</si>
  <si>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</si>
  <si>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</si>
  <si>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</si>
  <si>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</si>
  <si>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</si>
  <si>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</si>
  <si>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</si>
  <si>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2B01</t>
  </si>
  <si>
    <t>陳樂軒</t>
  </si>
  <si>
    <t>2B02</t>
  </si>
  <si>
    <t>黃梓晴</t>
  </si>
  <si>
    <t>2B03</t>
  </si>
  <si>
    <t>李浩然</t>
  </si>
  <si>
    <t>2B04</t>
  </si>
  <si>
    <t>何詠琪</t>
  </si>
  <si>
    <t>2B05</t>
  </si>
  <si>
    <t>梁家俊</t>
  </si>
  <si>
    <t>2B06</t>
  </si>
  <si>
    <t>林曉彤</t>
  </si>
  <si>
    <t>2B07</t>
  </si>
  <si>
    <t>張卓謙</t>
  </si>
  <si>
    <t>2B08</t>
  </si>
  <si>
    <t>吳芷瑩</t>
  </si>
  <si>
    <t>2B09</t>
  </si>
  <si>
    <t>鄭子朗</t>
  </si>
  <si>
    <t>2B10</t>
  </si>
  <si>
    <t>劉思穎</t>
  </si>
  <si>
    <t>2B11</t>
  </si>
  <si>
    <t>周俊熙</t>
  </si>
  <si>
    <t>2B12</t>
  </si>
  <si>
    <t>葉凱琳</t>
  </si>
  <si>
    <t>2B13</t>
  </si>
  <si>
    <t>馮志誠</t>
  </si>
  <si>
    <t>2B14</t>
  </si>
  <si>
    <t>蔡雅雯</t>
  </si>
  <si>
    <t>2B15</t>
  </si>
  <si>
    <t>許天佑</t>
  </si>
  <si>
    <t>2B16</t>
  </si>
  <si>
    <t>鄧穎欣</t>
  </si>
  <si>
    <t>2B17</t>
  </si>
  <si>
    <t>譚家豪</t>
  </si>
  <si>
    <t>2B18</t>
  </si>
  <si>
    <t>麥嘉怡</t>
  </si>
  <si>
    <t>2B19</t>
  </si>
  <si>
    <t>郭宇軒</t>
  </si>
  <si>
    <t>2B20</t>
  </si>
  <si>
    <t>袁詩晴</t>
  </si>
  <si>
    <t>2B21</t>
  </si>
  <si>
    <t>羅正賢</t>
  </si>
  <si>
    <t>缺考</t>
  </si>
  <si>
    <t>2B22</t>
  </si>
  <si>
    <t>蕭卓琳</t>
  </si>
  <si>
    <t>2B23</t>
  </si>
  <si>
    <t>區健朗</t>
  </si>
  <si>
    <t>2B24</t>
  </si>
  <si>
    <t>容樂兒</t>
  </si>
  <si>
    <t>2B25</t>
  </si>
  <si>
    <t>高浩晴</t>
  </si>
  <si>
    <t>2B26</t>
  </si>
  <si>
    <t>莫俊傑</t>
  </si>
  <si>
    <t>2B27</t>
  </si>
  <si>
    <t>伍曉晴</t>
  </si>
  <si>
    <t>2B28</t>
  </si>
  <si>
    <t>施文博</t>
  </si>
  <si>
    <t>2B29</t>
  </si>
  <si>
    <t>歐陽思朗</t>
  </si>
  <si>
    <t>2B30</t>
  </si>
  <si>
    <t>官詠恩</t>
  </si>
  <si>
    <t>題號</t>
  </si>
  <si>
    <t>考點</t>
  </si>
  <si>
    <t>題型</t>
  </si>
  <si>
    <t>分數</t>
  </si>
  <si>
    <t>選擇</t>
  </si>
  <si>
    <t>重力與質量的分別</t>
  </si>
  <si>
    <t>合力計算（同一直線）</t>
  </si>
  <si>
    <t>計算</t>
  </si>
  <si>
    <t>摩擦力方向</t>
  </si>
  <si>
    <t>平衡力判斷</t>
  </si>
  <si>
    <t>牛頓第一定律：慣性情境解釋</t>
  </si>
  <si>
    <t>短答</t>
  </si>
  <si>
    <t>速度–時間圖讀圖</t>
  </si>
  <si>
    <t>讀圖</t>
  </si>
  <si>
    <t>安全帶與慣性</t>
  </si>
  <si>
    <t>中文</t>
  </si>
  <si>
    <t>英文</t>
  </si>
  <si>
    <t>葡文</t>
  </si>
  <si>
    <t>數學</t>
  </si>
  <si>
    <t>歷史</t>
  </si>
  <si>
    <t>地理</t>
  </si>
  <si>
    <t>總分</t>
  </si>
  <si>
    <t>備註</t>
  </si>
  <si>
    <t>科學缺考（病假）</t>
  </si>
  <si>
    <t>一、全班統計（滿分 20 分，缺考不計入）</t>
  </si>
  <si>
    <t>二、每題答對率（每題 2 分）</t>
  </si>
  <si>
    <t>三、最弱的 2 個考點</t>
  </si>
  <si>
    <t>四、低於 8 分的學生（缺考不計入）</t>
  </si>
  <si>
    <t>五、教學建議</t>
  </si>
  <si>
    <t>2B班 小測1《力與運動》成績分析報告</t>
  </si>
  <si>
    <t>應考人數</t>
  </si>
  <si>
    <t>到考人數</t>
  </si>
  <si>
    <t>缺考人數</t>
  </si>
  <si>
    <t>全班平均分</t>
  </si>
  <si>
    <t>最高分</t>
  </si>
  <si>
    <t>最低分</t>
  </si>
  <si>
    <t>及格率（10 分或以上）</t>
  </si>
  <si>
    <t>答對率</t>
  </si>
  <si>
    <t>力的單位（牛頓 N）</t>
  </si>
  <si>
    <t>速度＝距離÷時間</t>
  </si>
  <si>
    <t>加速度概念（a=Δv/t）</t>
  </si>
  <si>
    <t>總分(滿分20)</t>
  </si>
  <si>
    <t>1. 全班整體表現理想（平均約 14 分、及格率 86.2%），力單位、合力計算與摩擦力方向等基礎考點掌握良好。</t>
  </si>
  <si>
    <t>2. 最弱的兩個考點是「加速度概念（a=Δv/t）」（答對率 44.8%）與「安全帶與慣性」（46.6%），建議以生活化例子重教加速度公式並加強慣性情境的短答訓練。</t>
  </si>
  <si>
    <t>3. 現時只有梁家俊（7 分）一人低於 8 分，宜安排個別輔導及跟進重測，並針對其多題失分的速度計算與讀圖範圍補底。</t>
  </si>
  <si>
    <t>2. 最弱的兩個考點是「加速度概念（a=Δv/t）」（答對率僅 43.1%）與「安全帶與慣性」（48.3%），建議以生活化例子重教加速度公式，並加強牛頓第一定律慣性情境的短答訓練。</t>
  </si>
  <si>
    <t>3. 現時只有梁家俊（2B05，7 分）一人低於 8 分，宜安排個別輔導及跟進重測，並針對其重力與質量、慣性解釋、讀圖及加速度等失分範圍補底。</t>
  </si>
  <si>
    <r>
      <rPr>
        <rFont val="Noto Sans CJK SC"/>
        <family val="2"/>
        <b val="1"/>
        <sz val="11"/>
      </rPr>
      <t>總分</t>
    </r>
    <r>
      <rPr>
        <rFont val="Cambria"/>
        <charset val="1"/>
        <family val="0"/>
        <b val="1"/>
        <sz val="11"/>
      </rPr>
      <t>(</t>
    </r>
    <r>
      <rPr>
        <rFont val="Noto Sans CJK SC"/>
        <family val="2"/>
        <b val="1"/>
        <sz val="11"/>
      </rPr>
      <t>滿分</t>
    </r>
    <r>
      <rPr>
        <rFont val="Cambria"/>
        <charset val="1"/>
        <family val="0"/>
        <b val="1"/>
        <sz val="11"/>
      </rPr>
      <t>20)</t>
    </r>
  </si>
  <si>
    <r>
      <rPr>
        <rFont val="Noto Sans CJK SC"/>
        <family val="2"/>
        <color theme="1"/>
        <sz val="11"/>
      </rPr>
      <t xml:space="preserve">力的單位（牛頓 </t>
    </r>
    <r>
      <rPr>
        <rFont val="Calibri"/>
        <charset val="1"/>
        <family val="2"/>
        <color theme="1"/>
        <sz val="11"/>
      </rPr>
      <t>N</t>
    </r>
    <r>
      <rPr>
        <rFont val="Noto Sans CJK SC"/>
        <family val="2"/>
        <color theme="1"/>
        <sz val="11"/>
      </rPr>
      <t>）</t>
    </r>
  </si>
  <si>
    <r>
      <rPr>
        <rFont val="Noto Sans CJK SC"/>
        <family val="2"/>
        <color theme="1"/>
        <sz val="11"/>
      </rPr>
      <t>速度＝距離</t>
    </r>
    <r>
      <rPr>
        <rFont val="Calibri"/>
        <charset val="1"/>
        <family val="2"/>
        <color theme="1"/>
        <sz val="11"/>
      </rPr>
      <t>÷</t>
    </r>
    <r>
      <rPr>
        <rFont val="Noto Sans CJK SC"/>
        <family val="2"/>
        <color theme="1"/>
        <sz val="11"/>
      </rPr>
      <t>時間</t>
    </r>
  </si>
  <si>
    <r>
      <rPr>
        <rFont val="Noto Sans CJK SC"/>
        <family val="2"/>
        <color theme="1"/>
        <sz val="11"/>
      </rPr>
      <t>加速度概念（</t>
    </r>
    <r>
      <rPr>
        <rFont val="Calibri"/>
        <charset val="1"/>
        <family val="2"/>
        <color theme="1"/>
        <sz val="11"/>
      </rPr>
      <t>a=Δv/t</t>
    </r>
    <r>
      <rPr>
        <rFont val="Noto Sans CJK SC"/>
        <family val="2"/>
        <color theme="1"/>
        <sz val="11"/>
      </rPr>
      <t>）</t>
    </r>
  </si>
  <si>
    <r>
      <rPr>
        <rFont val="Noto Sans CJK SC"/>
        <family val="2"/>
        <b val="1"/>
        <sz val="11"/>
      </rPr>
      <t>科學</t>
    </r>
    <r>
      <rPr>
        <rFont val="Cambria"/>
        <charset val="1"/>
        <family val="0"/>
        <b val="1"/>
        <sz val="11"/>
      </rPr>
      <t>(</t>
    </r>
    <r>
      <rPr>
        <rFont val="Noto Sans CJK SC"/>
        <family val="2"/>
        <b val="1"/>
        <sz val="11"/>
      </rPr>
      <t>物理</t>
    </r>
    <r>
      <rPr>
        <rFont val="Cambria"/>
        <charset val="1"/>
        <family val="0"/>
        <b val="1"/>
        <sz val="11"/>
      </rPr>
      <t>)</t>
    </r>
  </si>
  <si>
    <r>
      <rPr>
        <rFont val="Noto Sans CJK SC"/>
        <family val="2"/>
        <color theme="1"/>
        <sz val="11"/>
      </rPr>
      <t xml:space="preserve">全部學生姓名與成績均為虛構，僅供 </t>
    </r>
    <r>
      <rPr>
        <rFont val="Calibri"/>
        <charset val="1"/>
        <family val="2"/>
        <color theme="1"/>
        <sz val="11"/>
      </rPr>
      <t xml:space="preserve">WorkBuddy </t>
    </r>
    <r>
      <rPr>
        <rFont val="Noto Sans CJK SC"/>
        <family val="2"/>
        <color theme="1"/>
        <sz val="11"/>
      </rPr>
      <t>教學示範。</t>
    </r>
  </si>
</sst>
</file>

<file path=xl/styles.xml><?xml version="1.0" encoding="utf-8"?>
<styleSheet xmlns="http://schemas.openxmlformats.org/spreadsheetml/2006/main">
  <numFmts count="7">
    <numFmt numFmtId="300" formatCode="0.0%"/>
    <numFmt numFmtId="301" formatCode="General"/>
    <numFmt numFmtId="302" formatCode="0%"/>
    <numFmt numFmtId="303" formatCode="_ \¥* #,##0_ ;_ \¥* -#,##0_ ;_ \¥* &quot;-&quot;_ ;_ @_ "/>
    <numFmt numFmtId="304" formatCode="_ \¥* #,##0.00_ ;_ \¥* -#,##0.00_ ;_ \¥* &quot;-&quot;??_ ;_ @_ "/>
    <numFmt numFmtId="305" formatCode="_ * #,##0_ ;_ * -#,##0_ ;_ * &quot;-&quot;_ ;_ @_ "/>
    <numFmt numFmtId="306" formatCode="_ * #,##0.00_ ;_ * -#,##0.00_ ;_ * &quot;-&quot;??_ ;_ @_ "/>
  </numFmts>
  <fonts count="13">
    <font>
      <name val="Calibri"/>
      <charset val="1"/>
      <family val="2"/>
      <color theme="1"/>
      <sz val="11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Noto Sans CJK SC"/>
      <family val="2"/>
      <b val="1"/>
      <sz val="11"/>
    </font>
    <font>
      <name val="Cambria"/>
      <charset val="1"/>
      <family val="0"/>
      <b val="1"/>
      <sz val="11"/>
    </font>
    <font>
      <name val="Noto Sans CJK SC"/>
      <family val="2"/>
      <color theme="1"/>
      <sz val="11"/>
    </font>
    <font>
      <sz val="14"/>
    </font>
    <font>
      <b val="1"/>
      <sz val="14"/>
    </font>
    <font>
      <b val="1"/>
    </font>
    <font>
      <b val="1"/>
      <sz val="12"/>
    </font>
    <font>
      <b val="1"/>
      <color rgb="FFFFFFFF"/>
    </font>
    <font>
      <name val="Calibri"/>
      <charset val="1"/>
      <family val="2"/>
      <color theme="1"/>
      <sz val="11"/>
    </font>
    <font>
      <name val="Arial"/>
      <family val="0"/>
      <sz val="10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4472C4"/>
        <bgColor rgb="FF4472C4"/>
      </patternFill>
    </fill>
    <fill>
      <patternFill patternType="none"/>
    </fill>
  </fills>
  <borders count="7">
    <border diagonalUp="0" diagonalDown="0">
      <left/>
      <right/>
      <top/>
      <bottom/>
      <diagonal/>
    </border>
    <border diagonalUp="1" diagonalDown="1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/>
    <border diagonalUp="1" diagonalDown="1">
      <left/>
      <right/>
      <top/>
      <bottom/>
      <diagonal/>
    </border>
  </borders>
  <cellStyleXfs>
    <xf numFmtId="301" fontId="11" fillId="0" borderId="6" xfId="0" applyFont="1" applyBorder="1" applyAlignment="1" applyProtection="1">
      <alignment horizontal="general" vertical="bottom" textRotation="0" wrapText="0" indent="0" shrinkToFit="0"/>
      <protection locked="1" hidden="0"/>
    </xf>
    <xf numFmtId="302" fontId="12" fillId="4" borderId="6" xfId="0" applyFont="1" applyBorder="0" applyAlignment="0" applyProtection="0"/>
    <xf numFmtId="303" fontId="12" fillId="4" borderId="6" xfId="0" applyFont="1" applyBorder="0" applyAlignment="0" applyProtection="0"/>
    <xf numFmtId="304" fontId="12" fillId="4" borderId="6" xfId="0" applyFont="1" applyBorder="0" applyAlignment="0" applyProtection="0"/>
    <xf numFmtId="305" fontId="12" fillId="4" borderId="6" xfId="0" applyFont="1" applyBorder="0" applyAlignment="0" applyProtection="0"/>
    <xf numFmtId="306" fontId="12" fillId="4" borderId="6" xfId="0" applyFont="1" applyBorder="0" applyAlignment="0" applyProtection="0"/>
  </cellStyleXfs>
  <cellXfs count="3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horizontal="general" vertical="bottom" textRotation="0" wrapText="0" indent="0" shrinkToFit="0"/>
    </xf>
    <xf numFmtId="301" fontId="3" fillId="2" borderId="1" xfId="0" applyFont="1" applyFill="1" applyBorder="1" applyAlignment="1">
      <alignment horizontal="center" vertical="center" textRotation="0" wrapText="1" indent="0" shrinkToFit="0"/>
      <protection locked="1" hidden="0"/>
    </xf>
    <xf numFmtId="301" fontId="4" fillId="2" borderId="1" xfId="0" applyFont="1" applyFill="1" applyBorder="1" applyAlignment="1">
      <alignment horizontal="center" vertical="center" textRotation="0" wrapText="1" indent="0" shrinkToFit="0"/>
      <protection locked="1" hidden="0"/>
    </xf>
    <xf numFmtId="301" fontId="11" fillId="0" borderId="1" xfId="0" applyBorder="1" applyAlignment="1">
      <alignment horizontal="center" vertical="bottom" textRotation="0" wrapText="0" indent="0" shrinkToFit="0"/>
      <protection locked="1" hidden="0"/>
    </xf>
    <xf numFmtId="301" fontId="5" fillId="0" borderId="1" xfId="0" applyFont="1" applyBorder="1" applyAlignment="1">
      <alignment horizontal="center" vertical="bottom" textRotation="0" wrapText="0" indent="0" shrinkToFit="0"/>
      <protection locked="1" hidden="0"/>
    </xf>
    <xf numFmtId="301" fontId="11" fillId="0" borderId="6" xfId="0">
      <alignment horizontal="general" vertical="bottom" textRotation="0" wrapText="0" indent="0" shrinkToFit="0"/>
      <protection locked="1" hidden="0"/>
    </xf>
    <xf numFmtId="301" fontId="5" fillId="0" borderId="6" xfId="0" applyFont="1">
      <alignment horizontal="general" vertical="bottom" textRotation="0" wrapText="0" indent="0" shrinkToFit="0"/>
      <protection locked="1" hidden="0"/>
    </xf>
    <xf fontId="6" fillId="0" borderId="0" xfId="0">
      <alignment horizontal="general" vertical="bottom" textRotation="0" wrapText="0" indent="0" shrinkToFit="0"/>
    </xf>
    <xf fontId="7" fillId="0" borderId="0" xfId="0">
      <alignment horizontal="general" vertical="bottom" textRotation="0" wrapText="0" indent="0" shrinkToFit="0"/>
    </xf>
    <xf fontId="8" fillId="0" borderId="0" xfId="0">
      <alignment horizontal="general" vertical="bottom" textRotation="0" wrapText="0" indent="0" shrinkToFit="0"/>
    </xf>
    <xf fontId="9" fillId="0" borderId="0" xfId="0">
      <alignment horizontal="general" vertical="bottom" textRotation="0" wrapText="0" indent="0" shrinkToFit="0"/>
    </xf>
    <xf numFmtId="300" fontId="0" fillId="0" borderId="0" xfId="0">
      <alignment horizontal="general" vertical="bottom" textRotation="0" wrapText="0" indent="0" shrinkToFit="0"/>
    </xf>
    <xf numFmtId="2" fontId="0" fillId="0" borderId="0" xfId="0">
      <alignment horizontal="general" vertical="bottom" textRotation="0" wrapText="0" indent="0" shrinkToFit="0"/>
    </xf>
    <xf fontId="0" fillId="0" borderId="0" xfId="0">
      <alignment wrapText="1"/>
    </xf>
    <xf fontId="0" fillId="0" borderId="0" xfId="0">
      <alignment vertical="top" wrapText="1"/>
    </xf>
    <xf fontId="8" fillId="3" borderId="0" xfId="0">
      <alignment horizontal="general" vertical="bottom" textRotation="0" wrapText="0" indent="0" shrinkToFit="0"/>
    </xf>
    <xf fontId="10" fillId="3" borderId="0" xfId="0">
      <alignment horizontal="general" vertical="bottom" textRotation="0" wrapText="0" indent="0" shrinkToFit="0"/>
    </xf>
    <xf fontId="10" fillId="3" borderId="0" xfId="0">
      <alignment horizontal="center"/>
    </xf>
    <xf fontId="0" fillId="0" borderId="0" xfId="0">
      <alignment horizontal="center"/>
    </xf>
    <xf fontId="0" fillId="0" borderId="2" xfId="0">
      <alignment horizontal="center"/>
    </xf>
    <xf numFmtId="300" fontId="0" fillId="0" borderId="2" xfId="0">
      <alignment horizontal="general" vertical="bottom" textRotation="0" wrapText="0" indent="0" shrinkToFit="0"/>
    </xf>
    <xf fontId="0" fillId="0" borderId="2" xfId="0">
      <alignment horizontal="general" vertical="bottom" textRotation="0" wrapText="0" indent="0" shrinkToFit="0"/>
    </xf>
    <xf fontId="0" fillId="0" borderId="3" xfId="0">
      <alignment horizontal="center"/>
    </xf>
    <xf numFmtId="300" fontId="0" fillId="0" borderId="3" xfId="0">
      <alignment horizontal="general" vertical="bottom" textRotation="0" wrapText="0" indent="0" shrinkToFit="0"/>
    </xf>
    <xf fontId="0" fillId="0" borderId="3" xfId="0">
      <alignment horizontal="general" vertical="bottom" textRotation="0" wrapText="0" indent="0" shrinkToFit="0"/>
    </xf>
    <xf fontId="0" fillId="0" borderId="4" xfId="0">
      <alignment horizontal="center"/>
    </xf>
    <xf numFmtId="300" fontId="0" fillId="0" borderId="4" xfId="0">
      <alignment horizontal="general" vertical="bottom" textRotation="0" wrapText="0" indent="0" shrinkToFit="0"/>
    </xf>
    <xf fontId="0" fillId="0" borderId="4" xfId="0">
      <alignment horizontal="general" vertical="bottom" textRotation="0" wrapText="0" indent="0" shrinkToFit="0"/>
    </xf>
    <xf fontId="10" fillId="3" borderId="5" xfId="0">
      <alignment horizontal="center"/>
    </xf>
    <xf numFmtId="301" fontId="11" fillId="4" borderId="6" xfId="0" applyNumberFormat="1" applyFill="1" applyBorder="1" applyAlignment="1" applyProtection="1">
      <alignment horizontal="general" vertical="bottom" textRotation="0" wrapText="0" indent="0" shrinkToFit="0"/>
      <protection locked="1" hidden="0"/>
    </xf>
  </cellXfs>
  <cellStyles>
    <cellStyle name="Normal" xfId="0" builtinId="0"/>
    <cellStyle name="Percent" xfId="1" builtinId="5"/>
    <cellStyle name="Currency [0]" xfId="2" builtinId="7"/>
    <cellStyle name="Currency" xfId="3" builtinId="4"/>
    <cellStyle name="Comma [0]" xfId="4" builtinId="6"/>
    <cellStyle name="Comma" xfId="5" builtinId="3"/>
  </cellStyles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5.xml" /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Ctr="0"/>
          <a:p>
            <a:pPr>
              <a:defRPr sz="1200" b="1"/>
            </a:pPr>
            <a:r>
              <a:t>小測1《力與運動》各題答對率</a:t>
            </a:r>
          </a:p>
        </c:rich>
      </c:tx>
      <c:overlay val="0"/>
      <c:txPr>
        <a:bodyPr anchorCtr="0"/>
        <a:p>
          <a:pPr>
            <a:defRPr sz="1200" b="1"/>
          </a:pPr>
        </a:p>
      </c:txPr>
    </c:title>
    <c:autoTitleDeleted val="0"/>
    <c:plotArea>
      <c:barChart>
        <c:barDir val="col"/>
        <c:grouping val="clustered"/>
        <c:ser>
          <c:idx val="0"/>
          <c:order val="0"/>
          <c:tx>
            <c:strRef>
              <c:f>'小測1_分析報告'!$B$13</c:f>
              <c:strCache>
                <c:ptCount val="1"/>
                <c:pt idx="0">
                  <c:v>答對率</c:v>
                </c:pt>
              </c:strCache>
            </c:strRef>
          </c:tx>
          <c:spPr>
            <a:solidFill>
              <a:schemeClr val="accent1"/>
            </a:solidFill>
          </c:spPr>
          <c:cat>
            <c:strRef>
              <c:f>'小測1_分析報告'!$A$14:$A$23</c:f>
              <c:strCache>
                <c:ptCount val="10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</c:strCache>
            </c:strRef>
          </c:cat>
          <c:val>
            <c:numRef>
              <c:f>'小測1_分析報告'!$B$14:$B$23</c:f>
              <c:numCache>
                <c:formatCode>General</c:formatCode>
                <c:ptCount val="10"/>
                <c:pt idx="0">
                  <c:v>0.862069</c:v>
                </c:pt>
                <c:pt idx="1">
                  <c:v>0.879310</c:v>
                </c:pt>
                <c:pt idx="2">
                  <c:v>0.896552</c:v>
                </c:pt>
                <c:pt idx="3">
                  <c:v>0.810345</c:v>
                </c:pt>
                <c:pt idx="4">
                  <c:v>0.724138</c:v>
                </c:pt>
                <c:pt idx="5">
                  <c:v>0.568966</c:v>
                </c:pt>
                <c:pt idx="6">
                  <c:v>0.655172</c:v>
                </c:pt>
                <c:pt idx="7">
                  <c:v>0.672414</c:v>
                </c:pt>
                <c:pt idx="8">
                  <c:v>0.431034</c:v>
                </c:pt>
                <c:pt idx="9">
                  <c:v>0.482759</c:v>
                </c:pt>
              </c:numCache>
            </c:numRef>
          </c:val>
        </c:ser>
        <c:gapWidth/>
        <c:overlap val="-27"/>
        <c:axId val="476579"/>
        <c:axId val="928563"/>
      </c:barChart>
      <c:catAx>
        <c:axId val="476579"/>
        <c:scaling/>
        <c:delete val="0"/>
        <c:axPos val="b"/>
        <c:majorTickMark/>
        <c:minorTickMark/>
        <c:txPr>
          <a:bodyPr anchorCtr="0"/>
          <a:p>
            <a:pPr>
              <a:defRPr sz="825" b="0" i="0">
                <a:solidFill>
                  <a:srgbClr val="000000"/>
                </a:solidFill>
              </a:defRPr>
            </a:pPr>
          </a:p>
        </c:txPr>
        <c:crossAx val="928563"/>
      </c:catAx>
      <c:valAx>
        <c:axId val="928563"/>
        <c:scaling>
          <c:max val="1"/>
          <c:min val="0"/>
        </c:scaling>
        <c:delete val="0"/>
        <c:axPos val="l"/>
        <c:majorGridlines>
          <c:spPr>
            <a:ln w="9525" cap="flat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title>
          <c:tx>
            <c:rich>
              <a:bodyPr anchorCtr="0"/>
              <a:p>
                <a:pPr>
                  <a:defRPr sz="900" b="1"/>
                </a:pPr>
                <a:r>
                  <a:t>答對率</a:t>
                </a:r>
              </a:p>
            </c:rich>
          </c:tx>
          <c:txPr>
            <a:bodyPr anchorCtr="0"/>
            <a:p>
              <a:pPr>
                <a:defRPr sz="900" b="1"/>
              </a:pPr>
            </a:p>
          </c:txPr>
        </c:title>
        <c:numFmt formatCode="0%"/>
        <c:majorTickMark/>
        <c:minorTickMark/>
        <c:txPr>
          <a:bodyPr anchorCtr="0"/>
          <a:p>
            <a:pPr>
              <a:defRPr sz="825" b="0" i="0">
                <a:solidFill>
                  <a:srgbClr val="000000"/>
                </a:solidFill>
              </a:defRPr>
            </a:pPr>
          </a:p>
        </c:txPr>
        <c:crossAx val="476579"/>
      </c:valAx>
    </c:plotArea>
    <c:plotVisOnly val="1"/>
    <c:dispBlanksAs val="gap"/>
  </c:chart>
</c:chartSpace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chart" Target="../charts/chart1.xml" /></Relationships>
</file>

<file path=xl/drawings/drawing1.xml><?xml version="1.0" encoding="utf-8"?>
<xdr:wsDr xmlns:c="http://schemas.openxmlformats.org/drawingml/2006/chart" xmlns:a="http://schemas.openxmlformats.org/drawingml/2006/main" xmlns:xdr="http://schemas.openxmlformats.org/drawingml/2006/spreadsheetDrawing" xmlns:r="http://schemas.openxmlformats.org/officeDocument/2006/relationships">
  <xdr:oneCellAnchor>
    <xdr:from>
      <xdr:col>5</xdr:col>
      <xdr:colOff>0</xdr:colOff>
      <xdr:row>12</xdr:row>
      <xdr:rowOff>0</xdr:rowOff>
    </xdr:from>
    <xdr:ext cx="6858000" cy="4000500"/>
    <xdr:graphicFrame>
      <xdr:nvGraphicFramePr>
        <xdr:cNvPr id="1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0"/>
        </a:graphicData>
      </a:graphic>
    </xdr:graphicFrame>
    <xdr:clientData/>
  </xdr:oneCellAnchor>
</xdr:wsDr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5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>
  <sheetPr filterMode="0">
    <pageSetUpPr fitToPage="0"/>
  </sheetPr>
  <dimension ref="M3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/>
  </sheetViews>
  <sheetFormatPr defaultColWidth="8.67969" defaultRowHeight="15" customHeight="1" zeroHeight="0" outlineLevelRow="0" outlineLevelCol="0"/>
  <cols>
    <col min="2" max="2" width="12" style="32" customWidth="1" outlineLevel="0" collapsed="0"/>
    <col min="13" max="13" width="14" style="32" customWidth="1" outlineLevel="0" collapsed="0"/>
  </cols>
  <sheetData>
    <row r="1" spans="1:13" customFormat="0" ht="17.15" customHeight="0" outlineLevel="0" collapsed="0">
      <c r="A1" s="4" t="s">
        <v>1</v>
      </c>
      <c r="B1" s="4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4" t="s">
        <v>121</v>
      </c>
    </row>
    <row r="2" spans="1:13" customFormat="0" ht="15" customHeight="0" outlineLevel="0" collapsed="0">
      <c r="A2" s="6" t="s">
        <v>13</v>
      </c>
      <c r="B2" s="7" t="s">
        <v>14</v>
      </c>
      <c r="C2" s="6">
        <v>2</v>
      </c>
      <c r="D2" s="6">
        <v>1</v>
      </c>
      <c r="E2" s="6">
        <v>1</v>
      </c>
      <c r="F2" s="6">
        <v>0</v>
      </c>
      <c r="G2" s="6">
        <v>2</v>
      </c>
      <c r="H2" s="6">
        <v>2</v>
      </c>
      <c r="I2" s="6">
        <v>2</v>
      </c>
      <c r="J2" s="6">
        <v>0</v>
      </c>
      <c r="K2" s="6">
        <v>0</v>
      </c>
      <c r="L2" s="6">
        <v>0</v>
      </c>
      <c r="M2" s="6">
        <f t="array" aca="0" ref="M2">=IF(COUNT(C2:L2)=0,"缺考",SUM(C2:L2))</f>
        <v>10</v>
      </c>
    </row>
    <row r="3" spans="1:13" customFormat="0" ht="15" customHeight="0" outlineLevel="0" collapsed="0">
      <c r="A3" s="6" t="s">
        <v>15</v>
      </c>
      <c r="B3" s="7" t="s">
        <v>16</v>
      </c>
      <c r="C3" s="6">
        <v>2</v>
      </c>
      <c r="D3" s="6">
        <v>2</v>
      </c>
      <c r="E3" s="6">
        <v>2</v>
      </c>
      <c r="F3" s="6">
        <v>0</v>
      </c>
      <c r="G3" s="6">
        <v>0</v>
      </c>
      <c r="H3" s="6">
        <v>0</v>
      </c>
      <c r="I3" s="6">
        <v>0</v>
      </c>
      <c r="J3" s="6">
        <v>2</v>
      </c>
      <c r="K3" s="6">
        <v>0</v>
      </c>
      <c r="L3" s="6">
        <v>0</v>
      </c>
      <c r="M3" s="6">
        <f t="array" aca="0" ref="M3">=IF(COUNT(C3:L3)=0,"缺考",SUM(C3:L3))</f>
        <v>8</v>
      </c>
    </row>
    <row r="4" spans="1:13" customFormat="0" ht="15" customHeight="0" outlineLevel="0" collapsed="0">
      <c r="A4" s="6" t="s">
        <v>17</v>
      </c>
      <c r="B4" s="7" t="s">
        <v>18</v>
      </c>
      <c r="C4" s="6">
        <v>2</v>
      </c>
      <c r="D4" s="6">
        <v>2</v>
      </c>
      <c r="E4" s="6">
        <v>2</v>
      </c>
      <c r="F4" s="6">
        <v>2</v>
      </c>
      <c r="G4" s="6">
        <v>0</v>
      </c>
      <c r="H4" s="6">
        <v>0</v>
      </c>
      <c r="I4" s="6">
        <v>2</v>
      </c>
      <c r="J4" s="6">
        <v>2</v>
      </c>
      <c r="K4" s="6">
        <v>0</v>
      </c>
      <c r="L4" s="6">
        <v>2</v>
      </c>
      <c r="M4" s="6">
        <f t="array" aca="0" ref="M4">=IF(COUNT(C4:L4)=0,"缺考",SUM(C4:L4))</f>
        <v>14</v>
      </c>
    </row>
    <row r="5" spans="1:13" customFormat="0" ht="15" customHeight="0" outlineLevel="0" collapsed="0">
      <c r="A5" s="6" t="s">
        <v>19</v>
      </c>
      <c r="B5" s="7" t="s">
        <v>20</v>
      </c>
      <c r="C5" s="6">
        <v>2</v>
      </c>
      <c r="D5" s="6">
        <v>0</v>
      </c>
      <c r="E5" s="6">
        <v>2</v>
      </c>
      <c r="F5" s="6">
        <v>2</v>
      </c>
      <c r="G5" s="6">
        <v>0</v>
      </c>
      <c r="H5" s="6">
        <v>2</v>
      </c>
      <c r="I5" s="6">
        <v>2</v>
      </c>
      <c r="J5" s="6">
        <v>1</v>
      </c>
      <c r="K5" s="6">
        <v>0</v>
      </c>
      <c r="L5" s="6">
        <v>1</v>
      </c>
      <c r="M5" s="6">
        <f t="array" aca="0" ref="M5">=IF(COUNT(C5:L5)=0,"缺考",SUM(C5:L5))</f>
        <v>12</v>
      </c>
    </row>
    <row r="6" spans="1:13" customFormat="0" ht="15" customHeight="0" outlineLevel="0" collapsed="0">
      <c r="A6" s="6" t="s">
        <v>21</v>
      </c>
      <c r="B6" s="7" t="s">
        <v>22</v>
      </c>
      <c r="C6" s="6">
        <v>2</v>
      </c>
      <c r="D6" s="6">
        <v>0</v>
      </c>
      <c r="E6" s="6">
        <v>2</v>
      </c>
      <c r="F6" s="6">
        <v>0</v>
      </c>
      <c r="G6" s="6">
        <v>2</v>
      </c>
      <c r="H6" s="6">
        <v>0</v>
      </c>
      <c r="I6" s="6">
        <v>1</v>
      </c>
      <c r="J6" s="6">
        <v>0</v>
      </c>
      <c r="K6" s="6">
        <v>0</v>
      </c>
      <c r="L6" s="6">
        <v>0</v>
      </c>
      <c r="M6" s="6">
        <f t="array" aca="0" ref="M6">=IF(COUNT(C6:L6)=0,"缺考",SUM(C6:L6))</f>
        <v>7</v>
      </c>
    </row>
    <row r="7" spans="1:13" customFormat="0" ht="15" customHeight="0" outlineLevel="0" collapsed="0">
      <c r="A7" s="6" t="s">
        <v>23</v>
      </c>
      <c r="B7" s="7" t="s">
        <v>24</v>
      </c>
      <c r="C7" s="6">
        <v>2</v>
      </c>
      <c r="D7" s="6">
        <v>2</v>
      </c>
      <c r="E7" s="6">
        <v>0</v>
      </c>
      <c r="F7" s="6">
        <v>2</v>
      </c>
      <c r="G7" s="6">
        <v>2</v>
      </c>
      <c r="H7" s="6">
        <v>0</v>
      </c>
      <c r="I7" s="6">
        <v>0</v>
      </c>
      <c r="J7" s="6">
        <v>2</v>
      </c>
      <c r="K7" s="6">
        <v>0</v>
      </c>
      <c r="L7" s="6">
        <v>0</v>
      </c>
      <c r="M7" s="6">
        <f t="array" aca="0" ref="M7">=IF(COUNT(C7:L7)=0,"缺考",SUM(C7:L7))</f>
        <v>10</v>
      </c>
    </row>
    <row r="8" spans="1:13" customFormat="0" ht="15" customHeight="0" outlineLevel="0" collapsed="0">
      <c r="A8" s="6" t="s">
        <v>25</v>
      </c>
      <c r="B8" s="7" t="s">
        <v>26</v>
      </c>
      <c r="C8" s="6">
        <v>0</v>
      </c>
      <c r="D8" s="6">
        <v>2</v>
      </c>
      <c r="E8" s="6">
        <v>2</v>
      </c>
      <c r="F8" s="6">
        <v>0</v>
      </c>
      <c r="G8" s="6">
        <v>2</v>
      </c>
      <c r="H8" s="6">
        <v>1</v>
      </c>
      <c r="I8" s="6">
        <v>2</v>
      </c>
      <c r="J8" s="6">
        <v>0</v>
      </c>
      <c r="K8" s="6">
        <v>0</v>
      </c>
      <c r="L8" s="6">
        <v>1</v>
      </c>
      <c r="M8" s="6">
        <f t="array" aca="0" ref="M8">=IF(COUNT(C8:L8)=0,"缺考",SUM(C8:L8))</f>
        <v>10</v>
      </c>
    </row>
    <row r="9" spans="1:13" customFormat="0" ht="15" customHeight="0" outlineLevel="0" collapsed="0">
      <c r="A9" s="6" t="s">
        <v>27</v>
      </c>
      <c r="B9" s="7" t="s">
        <v>28</v>
      </c>
      <c r="C9" s="6">
        <v>2</v>
      </c>
      <c r="D9" s="6">
        <v>2</v>
      </c>
      <c r="E9" s="6">
        <v>2</v>
      </c>
      <c r="F9" s="6">
        <v>2</v>
      </c>
      <c r="G9" s="6">
        <v>1</v>
      </c>
      <c r="H9" s="6">
        <v>2</v>
      </c>
      <c r="I9" s="6">
        <v>2</v>
      </c>
      <c r="J9" s="6">
        <v>2</v>
      </c>
      <c r="K9" s="6">
        <v>0</v>
      </c>
      <c r="L9" s="6">
        <v>2</v>
      </c>
      <c r="M9" s="6">
        <f t="array" aca="0" ref="M9">=IF(COUNT(C9:L9)=0,"缺考",SUM(C9:L9))</f>
        <v>17</v>
      </c>
    </row>
    <row r="10" spans="1:13" customFormat="0" ht="15" customHeight="0" outlineLevel="0" collapsed="0">
      <c r="A10" s="6" t="s">
        <v>29</v>
      </c>
      <c r="B10" s="7" t="s">
        <v>30</v>
      </c>
      <c r="C10" s="6">
        <v>2</v>
      </c>
      <c r="D10" s="6">
        <v>2</v>
      </c>
      <c r="E10" s="6">
        <v>1</v>
      </c>
      <c r="F10" s="6">
        <v>2</v>
      </c>
      <c r="G10" s="6">
        <v>2</v>
      </c>
      <c r="H10" s="6">
        <v>0</v>
      </c>
      <c r="I10" s="6">
        <v>2</v>
      </c>
      <c r="J10" s="6">
        <v>0</v>
      </c>
      <c r="K10" s="6">
        <v>2</v>
      </c>
      <c r="L10" s="6">
        <v>0</v>
      </c>
      <c r="M10" s="6">
        <f t="array" aca="0" ref="M10">=IF(COUNT(C10:L10)=0,"缺考",SUM(C10:L10))</f>
        <v>13</v>
      </c>
    </row>
    <row r="11" spans="1:13" customFormat="0" ht="15" customHeight="0" outlineLevel="0" collapsed="0">
      <c r="A11" s="6" t="s">
        <v>31</v>
      </c>
      <c r="B11" s="7" t="s">
        <v>32</v>
      </c>
      <c r="C11" s="6">
        <v>2</v>
      </c>
      <c r="D11" s="6">
        <v>2</v>
      </c>
      <c r="E11" s="6">
        <v>2</v>
      </c>
      <c r="F11" s="6">
        <v>2</v>
      </c>
      <c r="G11" s="6">
        <v>2</v>
      </c>
      <c r="H11" s="6">
        <v>0</v>
      </c>
      <c r="I11" s="6">
        <v>2</v>
      </c>
      <c r="J11" s="6">
        <v>2</v>
      </c>
      <c r="K11" s="6">
        <v>2</v>
      </c>
      <c r="L11" s="6">
        <v>2</v>
      </c>
      <c r="M11" s="6">
        <f t="array" aca="0" ref="M11">=IF(COUNT(C11:L11)=0,"缺考",SUM(C11:L11))</f>
        <v>18</v>
      </c>
    </row>
    <row r="12" spans="1:13" customFormat="0" ht="15" customHeight="0" outlineLevel="0" collapsed="0">
      <c r="A12" s="6" t="s">
        <v>33</v>
      </c>
      <c r="B12" s="7" t="s">
        <v>34</v>
      </c>
      <c r="C12" s="6">
        <v>2</v>
      </c>
      <c r="D12" s="6">
        <v>2</v>
      </c>
      <c r="E12" s="6">
        <v>2</v>
      </c>
      <c r="F12" s="6">
        <v>2</v>
      </c>
      <c r="G12" s="6">
        <v>2</v>
      </c>
      <c r="H12" s="6">
        <v>0</v>
      </c>
      <c r="I12" s="6">
        <v>1</v>
      </c>
      <c r="J12" s="6">
        <v>2</v>
      </c>
      <c r="K12" s="6">
        <v>2</v>
      </c>
      <c r="L12" s="6">
        <v>2</v>
      </c>
      <c r="M12" s="6">
        <f t="array" aca="0" ref="M12">=IF(COUNT(C12:L12)=0,"缺考",SUM(C12:L12))</f>
        <v>17</v>
      </c>
    </row>
    <row r="13" spans="1:13" customFormat="0" ht="15" customHeight="0" outlineLevel="0" collapsed="0">
      <c r="A13" s="6" t="s">
        <v>35</v>
      </c>
      <c r="B13" s="7" t="s">
        <v>36</v>
      </c>
      <c r="C13" s="6">
        <v>2</v>
      </c>
      <c r="D13" s="6">
        <v>2</v>
      </c>
      <c r="E13" s="6">
        <v>1</v>
      </c>
      <c r="F13" s="6">
        <v>2</v>
      </c>
      <c r="G13" s="6">
        <v>0</v>
      </c>
      <c r="H13" s="6">
        <v>1</v>
      </c>
      <c r="I13" s="6">
        <v>2</v>
      </c>
      <c r="J13" s="6">
        <v>2</v>
      </c>
      <c r="K13" s="6">
        <v>2</v>
      </c>
      <c r="L13" s="6">
        <v>2</v>
      </c>
      <c r="M13" s="6">
        <f t="array" aca="0" ref="M13">=IF(COUNT(C13:L13)=0,"缺考",SUM(C13:L13))</f>
        <v>16</v>
      </c>
    </row>
    <row r="14" spans="1:13" customFormat="0" ht="15" customHeight="0" outlineLevel="0" collapsed="0">
      <c r="A14" s="6" t="s">
        <v>37</v>
      </c>
      <c r="B14" s="7" t="s">
        <v>38</v>
      </c>
      <c r="C14" s="6">
        <v>2</v>
      </c>
      <c r="D14" s="6">
        <v>2</v>
      </c>
      <c r="E14" s="6">
        <v>2</v>
      </c>
      <c r="F14" s="6">
        <v>2</v>
      </c>
      <c r="G14" s="6">
        <v>2</v>
      </c>
      <c r="H14" s="6">
        <v>2</v>
      </c>
      <c r="I14" s="6">
        <v>2</v>
      </c>
      <c r="J14" s="6">
        <v>2</v>
      </c>
      <c r="K14" s="6">
        <v>2</v>
      </c>
      <c r="L14" s="6">
        <v>2</v>
      </c>
      <c r="M14" s="6">
        <f t="array" aca="0" ref="M14">=IF(COUNT(C14:L14)=0,"缺考",SUM(C14:L14))</f>
        <v>20</v>
      </c>
    </row>
    <row r="15" spans="1:13" customFormat="0" ht="15" customHeight="0" outlineLevel="0" collapsed="0">
      <c r="A15" s="6" t="s">
        <v>39</v>
      </c>
      <c r="B15" s="7" t="s">
        <v>40</v>
      </c>
      <c r="C15" s="6">
        <v>2</v>
      </c>
      <c r="D15" s="6">
        <v>2</v>
      </c>
      <c r="E15" s="6">
        <v>2</v>
      </c>
      <c r="F15" s="6">
        <v>2</v>
      </c>
      <c r="G15" s="6">
        <v>2</v>
      </c>
      <c r="H15" s="6">
        <v>2</v>
      </c>
      <c r="I15" s="6">
        <v>2</v>
      </c>
      <c r="J15" s="6">
        <v>2</v>
      </c>
      <c r="K15" s="6">
        <v>1</v>
      </c>
      <c r="L15" s="6">
        <v>2</v>
      </c>
      <c r="M15" s="6">
        <f t="array" aca="0" ref="M15">=IF(COUNT(C15:L15)=0,"缺考",SUM(C15:L15))</f>
        <v>19</v>
      </c>
    </row>
    <row r="16" spans="1:13" customFormat="0" ht="15" customHeight="0" outlineLevel="0" collapsed="0">
      <c r="A16" s="6" t="s">
        <v>41</v>
      </c>
      <c r="B16" s="7" t="s">
        <v>42</v>
      </c>
      <c r="C16" s="6">
        <v>1</v>
      </c>
      <c r="D16" s="6">
        <v>2</v>
      </c>
      <c r="E16" s="6">
        <v>2</v>
      </c>
      <c r="F16" s="6">
        <v>2</v>
      </c>
      <c r="G16" s="6">
        <v>0</v>
      </c>
      <c r="H16" s="6">
        <v>1</v>
      </c>
      <c r="I16" s="6">
        <v>0</v>
      </c>
      <c r="J16" s="6">
        <v>2</v>
      </c>
      <c r="K16" s="6">
        <v>2</v>
      </c>
      <c r="L16" s="6">
        <v>1</v>
      </c>
      <c r="M16" s="6">
        <f t="array" aca="0" ref="M16">=IF(COUNT(C16:L16)=0,"缺考",SUM(C16:L16))</f>
        <v>13</v>
      </c>
    </row>
    <row r="17" spans="1:13" customFormat="0" ht="15" customHeight="0" outlineLevel="0" collapsed="0">
      <c r="A17" s="6" t="s">
        <v>43</v>
      </c>
      <c r="B17" s="7" t="s">
        <v>44</v>
      </c>
      <c r="C17" s="6">
        <v>2</v>
      </c>
      <c r="D17" s="6">
        <v>2</v>
      </c>
      <c r="E17" s="6">
        <v>2</v>
      </c>
      <c r="F17" s="6">
        <v>2</v>
      </c>
      <c r="G17" s="6">
        <v>2</v>
      </c>
      <c r="H17" s="6">
        <v>1</v>
      </c>
      <c r="I17" s="6">
        <v>2</v>
      </c>
      <c r="J17" s="6">
        <v>2</v>
      </c>
      <c r="K17" s="6">
        <v>0</v>
      </c>
      <c r="L17" s="6">
        <v>0</v>
      </c>
      <c r="M17" s="6">
        <f t="array" aca="0" ref="M17">=IF(COUNT(C17:L17)=0,"缺考",SUM(C17:L17))</f>
        <v>15</v>
      </c>
    </row>
    <row r="18" spans="1:13" customFormat="0" ht="15" customHeight="0" outlineLevel="0" collapsed="0">
      <c r="A18" s="6" t="s">
        <v>45</v>
      </c>
      <c r="B18" s="7" t="s">
        <v>46</v>
      </c>
      <c r="C18" s="6">
        <v>1</v>
      </c>
      <c r="D18" s="6">
        <v>2</v>
      </c>
      <c r="E18" s="6">
        <v>2</v>
      </c>
      <c r="F18" s="6">
        <v>2</v>
      </c>
      <c r="G18" s="6">
        <v>2</v>
      </c>
      <c r="H18" s="6">
        <v>0</v>
      </c>
      <c r="I18" s="6">
        <v>0</v>
      </c>
      <c r="J18" s="6">
        <v>0</v>
      </c>
      <c r="K18" s="6">
        <v>0</v>
      </c>
      <c r="L18" s="6">
        <v>2</v>
      </c>
      <c r="M18" s="6">
        <f t="array" aca="0" ref="M18">=IF(COUNT(C18:L18)=0,"缺考",SUM(C18:L18))</f>
        <v>11</v>
      </c>
    </row>
    <row r="19" spans="1:13" customFormat="0" ht="15" customHeight="0" outlineLevel="0" collapsed="0">
      <c r="A19" s="6" t="s">
        <v>47</v>
      </c>
      <c r="B19" s="7" t="s">
        <v>48</v>
      </c>
      <c r="C19" s="6">
        <v>2</v>
      </c>
      <c r="D19" s="6">
        <v>2</v>
      </c>
      <c r="E19" s="6">
        <v>2</v>
      </c>
      <c r="F19" s="6">
        <v>2</v>
      </c>
      <c r="G19" s="6">
        <v>2</v>
      </c>
      <c r="H19" s="6">
        <v>1</v>
      </c>
      <c r="I19" s="6">
        <v>2</v>
      </c>
      <c r="J19" s="6">
        <v>0</v>
      </c>
      <c r="K19" s="6">
        <v>2</v>
      </c>
      <c r="L19" s="6">
        <v>1</v>
      </c>
      <c r="M19" s="6">
        <f t="array" aca="0" ref="M19">=IF(COUNT(C19:L19)=0,"缺考",SUM(C19:L19))</f>
        <v>16</v>
      </c>
    </row>
    <row r="20" spans="1:13" customFormat="0" ht="15" customHeight="0" outlineLevel="0" collapsed="0">
      <c r="A20" s="6" t="s">
        <v>49</v>
      </c>
      <c r="B20" s="7" t="s">
        <v>50</v>
      </c>
      <c r="C20" s="6">
        <v>2</v>
      </c>
      <c r="D20" s="6">
        <v>2</v>
      </c>
      <c r="E20" s="6">
        <v>2</v>
      </c>
      <c r="F20" s="6">
        <v>2</v>
      </c>
      <c r="G20" s="6">
        <v>2</v>
      </c>
      <c r="H20" s="6">
        <v>1</v>
      </c>
      <c r="I20" s="6">
        <v>2</v>
      </c>
      <c r="J20" s="6">
        <v>2</v>
      </c>
      <c r="K20" s="6">
        <v>2</v>
      </c>
      <c r="L20" s="6">
        <v>2</v>
      </c>
      <c r="M20" s="6">
        <f t="array" aca="0" ref="M20">=IF(COUNT(C20:L20)=0,"缺考",SUM(C20:L20))</f>
        <v>19</v>
      </c>
    </row>
    <row r="21" spans="1:13" customFormat="0" ht="15" customHeight="0" outlineLevel="0" collapsed="0">
      <c r="A21" s="6" t="s">
        <v>51</v>
      </c>
      <c r="B21" s="7" t="s">
        <v>52</v>
      </c>
      <c r="C21" s="6">
        <v>2</v>
      </c>
      <c r="D21" s="6">
        <v>2</v>
      </c>
      <c r="E21" s="6">
        <v>2</v>
      </c>
      <c r="F21" s="6">
        <v>2</v>
      </c>
      <c r="G21" s="6">
        <v>0</v>
      </c>
      <c r="H21" s="6">
        <v>2</v>
      </c>
      <c r="I21" s="6">
        <v>0</v>
      </c>
      <c r="J21" s="6">
        <v>0</v>
      </c>
      <c r="K21" s="6">
        <v>0</v>
      </c>
      <c r="L21" s="6">
        <v>0</v>
      </c>
      <c r="M21" s="6">
        <f t="array" aca="0" ref="M21">=IF(COUNT(C21:L21)=0,"缺考",SUM(C21:L21))</f>
        <v>10</v>
      </c>
    </row>
    <row r="22" spans="1:13" customFormat="0" ht="15" customHeight="0" outlineLevel="0" collapsed="0">
      <c r="A22" s="6" t="s">
        <v>53</v>
      </c>
      <c r="B22" s="7" t="s">
        <v>54</v>
      </c>
      <c r="C22" s="6" t="s"/>
      <c r="D22" s="6" t="s"/>
      <c r="E22" s="6" t="s"/>
      <c r="F22" s="6" t="s"/>
      <c r="G22" s="6" t="s"/>
      <c r="H22" s="6" t="s"/>
      <c r="I22" s="6" t="s"/>
      <c r="J22" s="6" t="s"/>
      <c r="K22" s="6" t="s"/>
      <c r="L22" s="6" t="s"/>
      <c r="M22" s="6" t="str">
        <f t="array" aca="0" ref="M22">=IF(COUNT(C22:L22)=0,"缺考",SUM(C22:L22))</f>
        <v>缺考</v>
      </c>
    </row>
    <row r="23" spans="1:13" customFormat="0" ht="15" customHeight="0" outlineLevel="0" collapsed="0">
      <c r="A23" s="6" t="s">
        <v>56</v>
      </c>
      <c r="B23" s="7" t="s">
        <v>57</v>
      </c>
      <c r="C23" s="6">
        <v>2</v>
      </c>
      <c r="D23" s="6">
        <v>2</v>
      </c>
      <c r="E23" s="6">
        <v>2</v>
      </c>
      <c r="F23" s="6">
        <v>2</v>
      </c>
      <c r="G23" s="6">
        <v>2</v>
      </c>
      <c r="H23" s="6">
        <v>2</v>
      </c>
      <c r="I23" s="6">
        <v>2</v>
      </c>
      <c r="J23" s="6">
        <v>2</v>
      </c>
      <c r="K23" s="6">
        <v>0</v>
      </c>
      <c r="L23" s="6">
        <v>2</v>
      </c>
      <c r="M23" s="6">
        <f t="array" aca="0" ref="M23">=IF(COUNT(C23:L23)=0,"缺考",SUM(C23:L23))</f>
        <v>18</v>
      </c>
    </row>
    <row r="24" spans="1:13" customFormat="0" ht="15" customHeight="0" outlineLevel="0" collapsed="0">
      <c r="A24" s="6" t="s">
        <v>58</v>
      </c>
      <c r="B24" s="7" t="s">
        <v>59</v>
      </c>
      <c r="C24" s="6">
        <v>2</v>
      </c>
      <c r="D24" s="6">
        <v>2</v>
      </c>
      <c r="E24" s="6">
        <v>2</v>
      </c>
      <c r="F24" s="6">
        <v>0</v>
      </c>
      <c r="G24" s="6">
        <v>2</v>
      </c>
      <c r="H24" s="6">
        <v>1</v>
      </c>
      <c r="I24" s="6">
        <v>2</v>
      </c>
      <c r="J24" s="6">
        <v>0</v>
      </c>
      <c r="K24" s="6">
        <v>0</v>
      </c>
      <c r="L24" s="6">
        <v>1</v>
      </c>
      <c r="M24" s="6">
        <f t="array" aca="0" ref="M24">=IF(COUNT(C24:L24)=0,"缺考",SUM(C24:L24))</f>
        <v>12</v>
      </c>
    </row>
    <row r="25" spans="1:13" customFormat="0" ht="15" customHeight="0" outlineLevel="0" collapsed="0">
      <c r="A25" s="6" t="s">
        <v>60</v>
      </c>
      <c r="B25" s="7" t="s">
        <v>61</v>
      </c>
      <c r="C25" s="6">
        <v>2</v>
      </c>
      <c r="D25" s="6">
        <v>2</v>
      </c>
      <c r="E25" s="6">
        <v>2</v>
      </c>
      <c r="F25" s="6">
        <v>2</v>
      </c>
      <c r="G25" s="6">
        <v>2</v>
      </c>
      <c r="H25" s="6">
        <v>2</v>
      </c>
      <c r="I25" s="6">
        <v>1</v>
      </c>
      <c r="J25" s="6">
        <v>2</v>
      </c>
      <c r="K25" s="6">
        <v>0</v>
      </c>
      <c r="L25" s="6">
        <v>0</v>
      </c>
      <c r="M25" s="6">
        <f t="array" aca="0" ref="M25">=IF(COUNT(C25:L25)=0,"缺考",SUM(C25:L25))</f>
        <v>15</v>
      </c>
    </row>
    <row r="26" spans="1:13" customFormat="0" ht="15" customHeight="0" outlineLevel="0" collapsed="0">
      <c r="A26" s="6" t="s">
        <v>62</v>
      </c>
      <c r="B26" s="7" t="s">
        <v>63</v>
      </c>
      <c r="C26" s="6">
        <v>2</v>
      </c>
      <c r="D26" s="6">
        <v>2</v>
      </c>
      <c r="E26" s="6">
        <v>2</v>
      </c>
      <c r="F26" s="6">
        <v>2</v>
      </c>
      <c r="G26" s="6">
        <v>2</v>
      </c>
      <c r="H26" s="6">
        <v>2</v>
      </c>
      <c r="I26" s="6">
        <v>2</v>
      </c>
      <c r="J26" s="6">
        <v>1</v>
      </c>
      <c r="K26" s="6">
        <v>2</v>
      </c>
      <c r="L26" s="6">
        <v>0</v>
      </c>
      <c r="M26" s="6">
        <f t="array" aca="0" ref="M26">=IF(COUNT(C26:L26)=0,"缺考",SUM(C26:L26))</f>
        <v>17</v>
      </c>
    </row>
    <row r="27" spans="1:13" customFormat="0" ht="15" customHeight="0" outlineLevel="0" collapsed="0">
      <c r="A27" s="6" t="s">
        <v>64</v>
      </c>
      <c r="B27" s="7" t="s">
        <v>65</v>
      </c>
      <c r="C27" s="6">
        <v>0</v>
      </c>
      <c r="D27" s="6">
        <v>2</v>
      </c>
      <c r="E27" s="6">
        <v>2</v>
      </c>
      <c r="F27" s="6">
        <v>2</v>
      </c>
      <c r="G27" s="6">
        <v>0</v>
      </c>
      <c r="H27" s="6">
        <v>0</v>
      </c>
      <c r="I27" s="6">
        <v>0</v>
      </c>
      <c r="J27" s="6">
        <v>2</v>
      </c>
      <c r="K27" s="6">
        <v>1</v>
      </c>
      <c r="L27" s="6">
        <v>0</v>
      </c>
      <c r="M27" s="6">
        <f t="array" aca="0" ref="M27">=IF(COUNT(C27:L27)=0,"缺考",SUM(C27:L27))</f>
        <v>9</v>
      </c>
    </row>
    <row r="28" spans="1:13" customFormat="0" ht="15" customHeight="0" outlineLevel="0" collapsed="0">
      <c r="A28" s="6" t="s">
        <v>66</v>
      </c>
      <c r="B28" s="7" t="s">
        <v>67</v>
      </c>
      <c r="C28" s="6">
        <v>2</v>
      </c>
      <c r="D28" s="6">
        <v>2</v>
      </c>
      <c r="E28" s="6">
        <v>2</v>
      </c>
      <c r="F28" s="6">
        <v>2</v>
      </c>
      <c r="G28" s="6">
        <v>2</v>
      </c>
      <c r="H28" s="6">
        <v>2</v>
      </c>
      <c r="I28" s="6">
        <v>0</v>
      </c>
      <c r="J28" s="6">
        <v>2</v>
      </c>
      <c r="K28" s="6">
        <v>2</v>
      </c>
      <c r="L28" s="6">
        <v>2</v>
      </c>
      <c r="M28" s="6">
        <f t="array" aca="0" ref="M28">=IF(COUNT(C28:L28)=0,"缺考",SUM(C28:L28))</f>
        <v>18</v>
      </c>
    </row>
    <row r="29" spans="1:13" customFormat="0" ht="15" customHeight="0" outlineLevel="0" collapsed="0">
      <c r="A29" s="6" t="s">
        <v>68</v>
      </c>
      <c r="B29" s="7" t="s">
        <v>69</v>
      </c>
      <c r="C29" s="6">
        <v>2</v>
      </c>
      <c r="D29" s="6">
        <v>2</v>
      </c>
      <c r="E29" s="6">
        <v>2</v>
      </c>
      <c r="F29" s="6">
        <v>2</v>
      </c>
      <c r="G29" s="6">
        <v>1</v>
      </c>
      <c r="H29" s="6">
        <v>2</v>
      </c>
      <c r="I29" s="6">
        <v>2</v>
      </c>
      <c r="J29" s="6">
        <v>2</v>
      </c>
      <c r="K29" s="6">
        <v>2</v>
      </c>
      <c r="L29" s="6">
        <v>0</v>
      </c>
      <c r="M29" s="6">
        <f t="array" aca="0" ref="M29">=IF(COUNT(C29:L29)=0,"缺考",SUM(C29:L29))</f>
        <v>17</v>
      </c>
    </row>
    <row r="30" spans="1:13" customFormat="0" ht="15" customHeight="0" outlineLevel="0" collapsed="0">
      <c r="A30" s="6" t="s">
        <v>70</v>
      </c>
      <c r="B30" s="7" t="s">
        <v>71</v>
      </c>
      <c r="C30" s="6">
        <v>2</v>
      </c>
      <c r="D30" s="6">
        <v>2</v>
      </c>
      <c r="E30" s="6">
        <v>1</v>
      </c>
      <c r="F30" s="6">
        <v>2</v>
      </c>
      <c r="G30" s="6">
        <v>2</v>
      </c>
      <c r="H30" s="6">
        <v>2</v>
      </c>
      <c r="I30" s="6">
        <v>1</v>
      </c>
      <c r="J30" s="6">
        <v>2</v>
      </c>
      <c r="K30" s="6">
        <v>0</v>
      </c>
      <c r="L30" s="6">
        <v>1</v>
      </c>
      <c r="M30" s="6">
        <f t="array" aca="0" ref="M30">=IF(COUNT(C30:L30)=0,"缺考",SUM(C30:L30))</f>
        <v>15</v>
      </c>
    </row>
    <row r="31" spans="1:13" customFormat="0" ht="15" customHeight="0" outlineLevel="0" collapsed="0">
      <c r="A31" s="6" t="s">
        <v>72</v>
      </c>
      <c r="B31" s="7" t="s">
        <v>73</v>
      </c>
      <c r="C31" s="6">
        <v>0</v>
      </c>
      <c r="D31" s="6">
        <v>0</v>
      </c>
      <c r="E31" s="6">
        <v>2</v>
      </c>
      <c r="F31" s="6">
        <v>1</v>
      </c>
      <c r="G31" s="6">
        <v>2</v>
      </c>
      <c r="H31" s="6">
        <v>2</v>
      </c>
      <c r="I31" s="6">
        <v>0</v>
      </c>
      <c r="J31" s="6">
        <v>1</v>
      </c>
      <c r="K31" s="6">
        <v>1</v>
      </c>
      <c r="L31" s="6">
        <v>0</v>
      </c>
      <c r="M31" s="6">
        <f t="array" aca="0" ref="M31">=IF(COUNT(C31:L31)=0,"缺考",SUM(C31:L31))</f>
        <v>9</v>
      </c>
    </row>
  </sheetData>
  <printOptions horizontalCentered="0" verticalCentered="0" headings="0" gridLines="0" gridLinesSet="1"/>
  <pageMargins left="0.75" right="0.75" top="1" bottom="1" header="0.511811" footer="0.511811"/>
  <pageSetup paperSize="9" scale="100" fitToWidth="1" fitToHeight="1" pageOrder="downThenOver" orientation="portrait" blackAndWhite="0" draft="0" cellComments="none" horizontalDpi="300" verticalDpi="300" copies="1"/>
  <headerFooter differentOddEven="0" differentFirst="0">
    <oddHeader/>
    <oddFooter/>
  </headerFooter>
</worksheet>
</file>

<file path=xl/worksheets/sheet2.xml><?xml version="1.0" encoding="utf-8"?>
<worksheet xmlns="http://schemas.openxmlformats.org/spreadsheetml/2006/main">
  <sheetPr filterMode="0">
    <pageSetUpPr fitToPage="0"/>
  </sheetPr>
  <dimension ref="D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/>
  </sheetViews>
  <sheetFormatPr defaultColWidth="8.67969" defaultRowHeight="15" customHeight="1" zeroHeight="0" outlineLevelRow="0" outlineLevelCol="0"/>
  <cols>
    <col min="2" max="2" width="34" style="32" customWidth="1" outlineLevel="0" collapsed="0"/>
  </cols>
  <sheetData>
    <row r="1" spans="1:4" customFormat="0" ht="17.15" customHeight="0" outlineLevel="0" collapsed="0">
      <c r="A1" s="4" t="s">
        <v>74</v>
      </c>
      <c r="B1" s="4" t="s">
        <v>75</v>
      </c>
      <c r="C1" s="4" t="s">
        <v>76</v>
      </c>
      <c r="D1" s="4" t="s">
        <v>77</v>
      </c>
    </row>
    <row r="2" spans="1:4" customFormat="0" ht="17.15" customHeight="0" outlineLevel="0" collapsed="0">
      <c r="A2" s="8" t="s">
        <v>3</v>
      </c>
      <c r="B2" s="9" t="s">
        <v>122</v>
      </c>
      <c r="C2" s="9" t="s">
        <v>78</v>
      </c>
      <c r="D2" s="8">
        <v>2</v>
      </c>
    </row>
    <row r="3" spans="1:4" customFormat="0" ht="15" customHeight="0" outlineLevel="0" collapsed="0">
      <c r="A3" s="8" t="s">
        <v>4</v>
      </c>
      <c r="B3" s="9" t="s">
        <v>79</v>
      </c>
      <c r="C3" s="9" t="s">
        <v>78</v>
      </c>
      <c r="D3" s="8">
        <v>2</v>
      </c>
    </row>
    <row r="4" spans="1:4" customFormat="0" ht="15" customHeight="0" outlineLevel="0" collapsed="0">
      <c r="A4" s="8" t="s">
        <v>5</v>
      </c>
      <c r="B4" s="9" t="s">
        <v>80</v>
      </c>
      <c r="C4" s="9" t="s">
        <v>81</v>
      </c>
      <c r="D4" s="8">
        <v>2</v>
      </c>
    </row>
    <row r="5" spans="1:4" customFormat="0" ht="15" customHeight="0" outlineLevel="0" collapsed="0">
      <c r="A5" s="8" t="s">
        <v>6</v>
      </c>
      <c r="B5" s="9" t="s">
        <v>82</v>
      </c>
      <c r="C5" s="9" t="s">
        <v>78</v>
      </c>
      <c r="D5" s="8">
        <v>2</v>
      </c>
    </row>
    <row r="6" spans="1:4" customFormat="0" ht="15" customHeight="0" outlineLevel="0" collapsed="0">
      <c r="A6" s="8" t="s">
        <v>7</v>
      </c>
      <c r="B6" s="9" t="s">
        <v>83</v>
      </c>
      <c r="C6" s="9" t="s">
        <v>78</v>
      </c>
      <c r="D6" s="8">
        <v>2</v>
      </c>
    </row>
    <row r="7" spans="1:4" customFormat="0" ht="15" customHeight="0" outlineLevel="0" collapsed="0">
      <c r="A7" s="8" t="s">
        <v>8</v>
      </c>
      <c r="B7" s="9" t="s">
        <v>84</v>
      </c>
      <c r="C7" s="9" t="s">
        <v>85</v>
      </c>
      <c r="D7" s="8">
        <v>2</v>
      </c>
    </row>
    <row r="8" spans="1:4" customFormat="0" ht="17.15" customHeight="0" outlineLevel="0" collapsed="0">
      <c r="A8" s="8" t="s">
        <v>9</v>
      </c>
      <c r="B8" s="9" t="s">
        <v>123</v>
      </c>
      <c r="C8" s="9" t="s">
        <v>81</v>
      </c>
      <c r="D8" s="8">
        <v>2</v>
      </c>
    </row>
    <row r="9" spans="1:4" customFormat="0" ht="15" customHeight="0" outlineLevel="0" collapsed="0">
      <c r="A9" s="8" t="s">
        <v>10</v>
      </c>
      <c r="B9" s="9" t="s">
        <v>86</v>
      </c>
      <c r="C9" s="9" t="s">
        <v>87</v>
      </c>
      <c r="D9" s="8">
        <v>2</v>
      </c>
    </row>
    <row r="10" spans="1:4" customFormat="0" ht="17.15" customHeight="0" outlineLevel="0" collapsed="0">
      <c r="A10" s="8" t="s">
        <v>11</v>
      </c>
      <c r="B10" s="9" t="s">
        <v>124</v>
      </c>
      <c r="C10" s="9" t="s">
        <v>81</v>
      </c>
      <c r="D10" s="8">
        <v>2</v>
      </c>
    </row>
    <row r="11" spans="1:4" customFormat="0" ht="15" customHeight="0" outlineLevel="0" collapsed="0">
      <c r="A11" s="8" t="s">
        <v>12</v>
      </c>
      <c r="B11" s="9" t="s">
        <v>88</v>
      </c>
      <c r="C11" s="9" t="s">
        <v>85</v>
      </c>
      <c r="D11" s="8">
        <v>2</v>
      </c>
    </row>
  </sheetData>
  <printOptions horizontalCentered="0" verticalCentered="0" headings="0" gridLines="0" gridLinesSet="1"/>
  <pageMargins left="0.75" right="0.75" top="1" bottom="1" header="0.511811" footer="0.511811"/>
  <pageSetup paperSize="9" scale="100" fitToWidth="1" fitToHeight="1" pageOrder="downThenOver" orientation="portrait" blackAndWhite="0" draft="0" cellComments="none" horizontalDpi="300" verticalDpi="300" copies="1"/>
  <headerFooter differentOddEven="0" differentFirst="0">
    <oddHeader/>
    <oddFooter/>
  </headerFooter>
</worksheet>
</file>

<file path=xl/worksheets/sheet3.xml><?xml version="1.0" encoding="utf-8"?>
<worksheet xmlns="http://schemas.openxmlformats.org/spreadsheetml/2006/main">
  <sheetPr filterMode="0">
    <pageSetUpPr fitToPage="0"/>
  </sheetPr>
  <dimension ref="K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/>
  </sheetViews>
  <sheetFormatPr defaultColWidth="8.67969" defaultRowHeight="15" customHeight="1" zeroHeight="0" outlineLevelRow="0" outlineLevelCol="0"/>
  <cols>
    <col min="2" max="2" width="12" style="32" customWidth="1" outlineLevel="0" collapsed="0"/>
    <col min="7" max="7" width="12" style="32" customWidth="1" outlineLevel="0" collapsed="0"/>
    <col min="11" max="11" width="20" style="32" customWidth="1" outlineLevel="0" collapsed="0"/>
  </cols>
  <sheetData>
    <row r="1" spans="1:11" customFormat="0" ht="17.15" customHeight="0" outlineLevel="0" collapsed="0">
      <c r="A1" s="4" t="s">
        <v>1</v>
      </c>
      <c r="B1" s="4" t="s">
        <v>2</v>
      </c>
      <c r="C1" s="4" t="s">
        <v>89</v>
      </c>
      <c r="D1" s="4" t="s">
        <v>90</v>
      </c>
      <c r="E1" s="4" t="s">
        <v>91</v>
      </c>
      <c r="F1" s="4" t="s">
        <v>92</v>
      </c>
      <c r="G1" s="4" t="s">
        <v>125</v>
      </c>
      <c r="H1" s="4" t="s">
        <v>93</v>
      </c>
      <c r="I1" s="4" t="s">
        <v>94</v>
      </c>
      <c r="J1" s="4" t="s">
        <v>95</v>
      </c>
      <c r="K1" s="4" t="s">
        <v>96</v>
      </c>
    </row>
    <row r="2" spans="1:11" customFormat="0" ht="15" customHeight="0" outlineLevel="0" collapsed="0">
      <c r="A2" s="6" t="s">
        <v>13</v>
      </c>
      <c r="B2" s="7" t="s">
        <v>14</v>
      </c>
      <c r="C2" s="6">
        <v>51</v>
      </c>
      <c r="D2" s="6">
        <v>56</v>
      </c>
      <c r="E2" s="6">
        <v>50</v>
      </c>
      <c r="F2" s="6">
        <v>43</v>
      </c>
      <c r="G2" s="6">
        <v>50</v>
      </c>
      <c r="H2" s="6">
        <v>53</v>
      </c>
      <c r="I2" s="6">
        <v>46</v>
      </c>
      <c r="J2" s="6">
        <f aca="0">=SUM(C2:I2)</f>
        <v>349</v>
      </c>
      <c r="K2" s="6" t="s"/>
    </row>
    <row r="3" spans="1:11" customFormat="0" ht="15" customHeight="0" outlineLevel="0" collapsed="0">
      <c r="A3" s="6" t="s">
        <v>15</v>
      </c>
      <c r="B3" s="7" t="s">
        <v>16</v>
      </c>
      <c r="C3" s="6">
        <v>88</v>
      </c>
      <c r="D3" s="6">
        <v>90</v>
      </c>
      <c r="E3" s="6">
        <v>85</v>
      </c>
      <c r="F3" s="6">
        <v>91</v>
      </c>
      <c r="G3" s="6">
        <v>52</v>
      </c>
      <c r="H3" s="6">
        <v>86</v>
      </c>
      <c r="I3" s="6">
        <v>89</v>
      </c>
      <c r="J3" s="6">
        <f aca="0">=SUM(C3:I3)</f>
        <v>581</v>
      </c>
      <c r="K3" s="6" t="s"/>
    </row>
    <row r="4" spans="1:11" customFormat="0" ht="15" customHeight="0" outlineLevel="0" collapsed="0">
      <c r="A4" s="6" t="s">
        <v>17</v>
      </c>
      <c r="B4" s="7" t="s">
        <v>18</v>
      </c>
      <c r="C4" s="6">
        <v>70</v>
      </c>
      <c r="D4" s="6">
        <v>64</v>
      </c>
      <c r="E4" s="6">
        <v>69</v>
      </c>
      <c r="F4" s="6">
        <v>60</v>
      </c>
      <c r="G4" s="6">
        <v>64</v>
      </c>
      <c r="H4" s="6">
        <v>80</v>
      </c>
      <c r="I4" s="6">
        <v>67</v>
      </c>
      <c r="J4" s="6">
        <f aca="0">=SUM(C4:I4)</f>
        <v>474</v>
      </c>
      <c r="K4" s="6" t="s"/>
    </row>
    <row r="5" spans="1:11" customFormat="0" ht="15" customHeight="0" outlineLevel="0" collapsed="0">
      <c r="A5" s="6" t="s">
        <v>19</v>
      </c>
      <c r="B5" s="7" t="s">
        <v>20</v>
      </c>
      <c r="C5" s="6">
        <v>58</v>
      </c>
      <c r="D5" s="6">
        <v>58</v>
      </c>
      <c r="E5" s="6">
        <v>58</v>
      </c>
      <c r="F5" s="6">
        <v>67</v>
      </c>
      <c r="G5" s="6">
        <v>79</v>
      </c>
      <c r="H5" s="6">
        <v>61</v>
      </c>
      <c r="I5" s="6">
        <v>75</v>
      </c>
      <c r="J5" s="6">
        <f aca="0">=SUM(C5:I5)</f>
        <v>456</v>
      </c>
      <c r="K5" s="6" t="s"/>
    </row>
    <row r="6" spans="1:11" customFormat="0" ht="15" customHeight="0" outlineLevel="0" collapsed="0">
      <c r="A6" s="6" t="s">
        <v>21</v>
      </c>
      <c r="B6" s="7" t="s">
        <v>22</v>
      </c>
      <c r="C6" s="6">
        <v>86</v>
      </c>
      <c r="D6" s="6">
        <v>70</v>
      </c>
      <c r="E6" s="6">
        <v>90</v>
      </c>
      <c r="F6" s="6">
        <v>75</v>
      </c>
      <c r="G6" s="6">
        <v>87</v>
      </c>
      <c r="H6" s="6">
        <v>73</v>
      </c>
      <c r="I6" s="6">
        <v>71</v>
      </c>
      <c r="J6" s="6">
        <f aca="0">=SUM(C6:I6)</f>
        <v>552</v>
      </c>
      <c r="K6" s="6" t="s"/>
    </row>
    <row r="7" spans="1:11" customFormat="0" ht="15" customHeight="0" outlineLevel="0" collapsed="0">
      <c r="A7" s="6" t="s">
        <v>23</v>
      </c>
      <c r="B7" s="7" t="s">
        <v>24</v>
      </c>
      <c r="C7" s="6">
        <v>70</v>
      </c>
      <c r="D7" s="6">
        <v>76</v>
      </c>
      <c r="E7" s="6">
        <v>62</v>
      </c>
      <c r="F7" s="6">
        <v>56</v>
      </c>
      <c r="G7" s="6">
        <v>65</v>
      </c>
      <c r="H7" s="6">
        <v>67</v>
      </c>
      <c r="I7" s="6">
        <v>56</v>
      </c>
      <c r="J7" s="6">
        <f aca="0">=SUM(C7:I7)</f>
        <v>452</v>
      </c>
      <c r="K7" s="6" t="s"/>
    </row>
    <row r="8" spans="1:11" customFormat="0" ht="15" customHeight="0" outlineLevel="0" collapsed="0">
      <c r="A8" s="6" t="s">
        <v>25</v>
      </c>
      <c r="B8" s="7" t="s">
        <v>26</v>
      </c>
      <c r="C8" s="6">
        <v>93</v>
      </c>
      <c r="D8" s="6">
        <v>71</v>
      </c>
      <c r="E8" s="6">
        <v>73</v>
      </c>
      <c r="F8" s="6">
        <v>81</v>
      </c>
      <c r="G8" s="6">
        <v>72</v>
      </c>
      <c r="H8" s="6">
        <v>72</v>
      </c>
      <c r="I8" s="6">
        <v>75</v>
      </c>
      <c r="J8" s="6">
        <f aca="0">=SUM(C8:I8)</f>
        <v>537</v>
      </c>
      <c r="K8" s="6" t="s"/>
    </row>
    <row r="9" spans="1:11" customFormat="0" ht="15" customHeight="0" outlineLevel="0" collapsed="0">
      <c r="A9" s="6" t="s">
        <v>27</v>
      </c>
      <c r="B9" s="7" t="s">
        <v>28</v>
      </c>
      <c r="C9" s="6">
        <v>80</v>
      </c>
      <c r="D9" s="6">
        <v>88</v>
      </c>
      <c r="E9" s="6">
        <v>84</v>
      </c>
      <c r="F9" s="6">
        <v>72</v>
      </c>
      <c r="G9" s="6">
        <v>98</v>
      </c>
      <c r="H9" s="6">
        <v>83</v>
      </c>
      <c r="I9" s="6">
        <v>81</v>
      </c>
      <c r="J9" s="6">
        <f aca="0">=SUM(C9:I9)</f>
        <v>586</v>
      </c>
      <c r="K9" s="6" t="s"/>
    </row>
    <row r="10" spans="1:11" customFormat="0" ht="15" customHeight="0" outlineLevel="0" collapsed="0">
      <c r="A10" s="6" t="s">
        <v>29</v>
      </c>
      <c r="B10" s="7" t="s">
        <v>30</v>
      </c>
      <c r="C10" s="6">
        <v>92</v>
      </c>
      <c r="D10" s="6">
        <v>87</v>
      </c>
      <c r="E10" s="6">
        <v>48</v>
      </c>
      <c r="F10" s="6">
        <v>90</v>
      </c>
      <c r="G10" s="6">
        <v>88</v>
      </c>
      <c r="H10" s="6">
        <v>84</v>
      </c>
      <c r="I10" s="6">
        <v>85</v>
      </c>
      <c r="J10" s="6">
        <f aca="0">=SUM(C10:I10)</f>
        <v>574</v>
      </c>
      <c r="K10" s="6" t="s"/>
    </row>
    <row r="11" spans="1:11" customFormat="0" ht="15" customHeight="0" outlineLevel="0" collapsed="0">
      <c r="A11" s="6" t="s">
        <v>31</v>
      </c>
      <c r="B11" s="7" t="s">
        <v>32</v>
      </c>
      <c r="C11" s="6">
        <v>56</v>
      </c>
      <c r="D11" s="6">
        <v>63</v>
      </c>
      <c r="E11" s="6">
        <v>53</v>
      </c>
      <c r="F11" s="6">
        <v>55</v>
      </c>
      <c r="G11" s="6">
        <v>60</v>
      </c>
      <c r="H11" s="6">
        <v>60</v>
      </c>
      <c r="I11" s="6">
        <v>58</v>
      </c>
      <c r="J11" s="6">
        <f aca="0">=SUM(C11:I11)</f>
        <v>405</v>
      </c>
      <c r="K11" s="6" t="s"/>
    </row>
    <row r="12" spans="1:11" customFormat="0" ht="15" customHeight="0" outlineLevel="0" collapsed="0">
      <c r="A12" s="6" t="s">
        <v>33</v>
      </c>
      <c r="B12" s="7" t="s">
        <v>34</v>
      </c>
      <c r="C12" s="6">
        <v>70</v>
      </c>
      <c r="D12" s="6">
        <v>72</v>
      </c>
      <c r="E12" s="6">
        <v>65</v>
      </c>
      <c r="F12" s="6">
        <v>105</v>
      </c>
      <c r="G12" s="6">
        <v>74</v>
      </c>
      <c r="H12" s="6">
        <v>68</v>
      </c>
      <c r="I12" s="6">
        <v>71</v>
      </c>
      <c r="J12" s="6">
        <f aca="0">=SUM(C12:I12)</f>
        <v>525</v>
      </c>
      <c r="K12" s="6" t="s"/>
    </row>
    <row r="13" spans="1:11" customFormat="0" ht="15" customHeight="0" outlineLevel="0" collapsed="0">
      <c r="A13" s="6" t="s">
        <v>35</v>
      </c>
      <c r="B13" s="7" t="s">
        <v>36</v>
      </c>
      <c r="C13" s="6">
        <v>61</v>
      </c>
      <c r="D13" s="6">
        <v>69</v>
      </c>
      <c r="E13" s="6">
        <v>76</v>
      </c>
      <c r="F13" s="6">
        <v>76</v>
      </c>
      <c r="G13" s="6">
        <v>75</v>
      </c>
      <c r="H13" s="6">
        <v>69</v>
      </c>
      <c r="I13" s="6">
        <v>61</v>
      </c>
      <c r="J13" s="6">
        <f aca="0">=SUM(C13:I13)</f>
        <v>487</v>
      </c>
      <c r="K13" s="6" t="s"/>
    </row>
    <row r="14" spans="1:11" customFormat="0" ht="15" customHeight="0" outlineLevel="0" collapsed="0">
      <c r="A14" s="6" t="s">
        <v>37</v>
      </c>
      <c r="B14" s="7" t="s">
        <v>38</v>
      </c>
      <c r="C14" s="6">
        <v>70</v>
      </c>
      <c r="D14" s="6">
        <v>64</v>
      </c>
      <c r="E14" s="6">
        <v>63</v>
      </c>
      <c r="F14" s="6">
        <v>59</v>
      </c>
      <c r="G14" s="6">
        <v>56</v>
      </c>
      <c r="H14" s="6">
        <v>53</v>
      </c>
      <c r="I14" s="6">
        <v>69</v>
      </c>
      <c r="J14" s="6">
        <f aca="0">=SUM(C14:I14)</f>
        <v>434</v>
      </c>
      <c r="K14" s="6" t="s"/>
    </row>
    <row r="15" spans="1:11" customFormat="0" ht="15" customHeight="0" outlineLevel="0" collapsed="0">
      <c r="A15" s="6" t="s">
        <v>39</v>
      </c>
      <c r="B15" s="7" t="s">
        <v>40</v>
      </c>
      <c r="C15" s="6">
        <v>81</v>
      </c>
      <c r="D15" s="6">
        <v>58</v>
      </c>
      <c r="E15" s="6">
        <v>61</v>
      </c>
      <c r="F15" s="6">
        <v>73</v>
      </c>
      <c r="G15" s="6">
        <v>71</v>
      </c>
      <c r="H15" s="6">
        <v>76</v>
      </c>
      <c r="I15" s="6">
        <v>59</v>
      </c>
      <c r="J15" s="6">
        <f aca="0">=SUM(C15:I15)</f>
        <v>479</v>
      </c>
      <c r="K15" s="6" t="s"/>
    </row>
    <row r="16" spans="1:11" customFormat="0" ht="15" customHeight="0" outlineLevel="0" collapsed="0">
      <c r="A16" s="6" t="s">
        <v>41</v>
      </c>
      <c r="B16" s="7" t="s">
        <v>42</v>
      </c>
      <c r="C16" s="6">
        <v>85</v>
      </c>
      <c r="D16" s="6">
        <v>58</v>
      </c>
      <c r="E16" s="6">
        <v>80</v>
      </c>
      <c r="F16" s="6">
        <v>93</v>
      </c>
      <c r="G16" s="6">
        <v>90</v>
      </c>
      <c r="H16" s="6">
        <v>82</v>
      </c>
      <c r="I16" s="6">
        <v>87</v>
      </c>
      <c r="J16" s="6">
        <f aca="0">=SUM(C16:I16)</f>
        <v>575</v>
      </c>
      <c r="K16" s="6" t="s"/>
    </row>
    <row r="17" spans="1:11" customFormat="0" ht="15" customHeight="0" outlineLevel="0" collapsed="0">
      <c r="A17" s="6" t="s">
        <v>43</v>
      </c>
      <c r="B17" s="7" t="s">
        <v>44</v>
      </c>
      <c r="C17" s="6">
        <v>70</v>
      </c>
      <c r="D17" s="6">
        <v>67</v>
      </c>
      <c r="E17" s="6">
        <v>71</v>
      </c>
      <c r="F17" s="6">
        <v>71</v>
      </c>
      <c r="G17" s="6">
        <v>65</v>
      </c>
      <c r="H17" s="6">
        <v>67</v>
      </c>
      <c r="I17" s="6">
        <v>55</v>
      </c>
      <c r="J17" s="6">
        <f aca="0">=SUM(C17:I17)</f>
        <v>466</v>
      </c>
      <c r="K17" s="6" t="s"/>
    </row>
    <row r="18" spans="1:11" customFormat="0" ht="15" customHeight="0" outlineLevel="0" collapsed="0">
      <c r="A18" s="6" t="s">
        <v>45</v>
      </c>
      <c r="B18" s="7" t="s">
        <v>46</v>
      </c>
      <c r="C18" s="6">
        <v>73</v>
      </c>
      <c r="D18" s="6">
        <v>66</v>
      </c>
      <c r="E18" s="6">
        <v>73</v>
      </c>
      <c r="F18" s="6">
        <v>73</v>
      </c>
      <c r="G18" s="6">
        <v>51</v>
      </c>
      <c r="H18" s="6">
        <v>65</v>
      </c>
      <c r="I18" s="6">
        <v>66</v>
      </c>
      <c r="J18" s="6">
        <f aca="0">=SUM(C18:I18)</f>
        <v>467</v>
      </c>
      <c r="K18" s="6" t="s"/>
    </row>
    <row r="19" spans="1:11" customFormat="0" ht="15" customHeight="0" outlineLevel="0" collapsed="0">
      <c r="A19" s="6" t="s">
        <v>47</v>
      </c>
      <c r="B19" s="7" t="s">
        <v>48</v>
      </c>
      <c r="C19" s="6">
        <v>68</v>
      </c>
      <c r="D19" s="6">
        <v>66</v>
      </c>
      <c r="E19" s="6">
        <v>57</v>
      </c>
      <c r="F19" s="6">
        <v>74</v>
      </c>
      <c r="G19" s="6">
        <v>67</v>
      </c>
      <c r="H19" s="6">
        <v>71</v>
      </c>
      <c r="I19" s="6">
        <v>74</v>
      </c>
      <c r="J19" s="6">
        <f aca="0">=SUM(C19:I19)</f>
        <v>477</v>
      </c>
      <c r="K19" s="6" t="s"/>
    </row>
    <row r="20" spans="1:11" customFormat="0" ht="15" customHeight="0" outlineLevel="0" collapsed="0">
      <c r="A20" s="6" t="s">
        <v>49</v>
      </c>
      <c r="B20" s="7" t="s">
        <v>50</v>
      </c>
      <c r="C20" s="6">
        <v>70</v>
      </c>
      <c r="D20" s="6">
        <v>67</v>
      </c>
      <c r="E20" s="6">
        <v>78</v>
      </c>
      <c r="F20" s="6">
        <v>54</v>
      </c>
      <c r="G20" s="6">
        <v>68</v>
      </c>
      <c r="H20" s="6">
        <v>65</v>
      </c>
      <c r="I20" s="6">
        <v>71</v>
      </c>
      <c r="J20" s="6">
        <f aca="0">=SUM(C20:I20)</f>
        <v>473</v>
      </c>
      <c r="K20" s="6" t="s"/>
    </row>
    <row r="21" spans="1:11" customFormat="0" ht="15" customHeight="0" outlineLevel="0" collapsed="0">
      <c r="A21" s="6" t="s">
        <v>51</v>
      </c>
      <c r="B21" s="7" t="s">
        <v>52</v>
      </c>
      <c r="C21" s="6">
        <v>83</v>
      </c>
      <c r="D21" s="6">
        <v>77</v>
      </c>
      <c r="E21" s="6">
        <v>71</v>
      </c>
      <c r="F21" s="6">
        <v>82</v>
      </c>
      <c r="G21" s="6">
        <v>72</v>
      </c>
      <c r="H21" s="6">
        <v>63</v>
      </c>
      <c r="I21" s="6">
        <v>75</v>
      </c>
      <c r="J21" s="6">
        <f aca="0">=SUM(C21:I21)</f>
        <v>523</v>
      </c>
      <c r="K21" s="6" t="s"/>
    </row>
    <row r="22" spans="1:11" customFormat="0" ht="15" customHeight="0" outlineLevel="0" collapsed="0">
      <c r="A22" s="6" t="s">
        <v>53</v>
      </c>
      <c r="B22" s="7" t="s">
        <v>54</v>
      </c>
      <c r="C22" s="6">
        <v>66</v>
      </c>
      <c r="D22" s="6">
        <v>70</v>
      </c>
      <c r="E22" s="6">
        <v>58</v>
      </c>
      <c r="F22" s="6">
        <v>62</v>
      </c>
      <c r="G22" s="6" t="s"/>
      <c r="H22" s="6">
        <v>64</v>
      </c>
      <c r="I22" s="6">
        <v>60</v>
      </c>
      <c r="J22" s="6">
        <f aca="0">=SUM(C22:I22)</f>
        <v>380</v>
      </c>
      <c r="K22" s="7" t="s">
        <v>97</v>
      </c>
    </row>
    <row r="23" spans="1:11" customFormat="0" ht="15" customHeight="0" outlineLevel="0" collapsed="0">
      <c r="A23" s="6" t="s">
        <v>56</v>
      </c>
      <c r="B23" s="7" t="s">
        <v>57</v>
      </c>
      <c r="C23" s="6">
        <v>78</v>
      </c>
      <c r="D23" s="6">
        <v>84</v>
      </c>
      <c r="E23" s="6">
        <v>73</v>
      </c>
      <c r="F23" s="6">
        <v>78</v>
      </c>
      <c r="G23" s="6">
        <v>84</v>
      </c>
      <c r="H23" s="6">
        <v>90</v>
      </c>
      <c r="I23" s="6">
        <v>81</v>
      </c>
      <c r="J23" s="6">
        <f aca="0">=SUM(C23:I23)</f>
        <v>568</v>
      </c>
      <c r="K23" s="6" t="s"/>
    </row>
    <row r="24" spans="1:11" customFormat="0" ht="15" customHeight="0" outlineLevel="0" collapsed="0">
      <c r="A24" s="6" t="s">
        <v>58</v>
      </c>
      <c r="B24" s="7" t="s">
        <v>59</v>
      </c>
      <c r="C24" s="6">
        <v>56</v>
      </c>
      <c r="D24" s="6">
        <v>66</v>
      </c>
      <c r="E24" s="6">
        <v>57</v>
      </c>
      <c r="F24" s="6">
        <v>48</v>
      </c>
      <c r="G24" s="6">
        <v>42</v>
      </c>
      <c r="H24" s="6">
        <v>43</v>
      </c>
      <c r="I24" s="6">
        <v>56</v>
      </c>
      <c r="J24" s="6">
        <f aca="0">=SUM(C24:I24)</f>
        <v>368</v>
      </c>
      <c r="K24" s="6" t="s"/>
    </row>
    <row r="25" spans="1:11" customFormat="0" ht="15" customHeight="0" outlineLevel="0" collapsed="0">
      <c r="A25" s="6" t="s">
        <v>60</v>
      </c>
      <c r="B25" s="7" t="s">
        <v>61</v>
      </c>
      <c r="C25" s="6">
        <v>45</v>
      </c>
      <c r="D25" s="6">
        <v>50</v>
      </c>
      <c r="E25" s="6">
        <v>38</v>
      </c>
      <c r="F25" s="6">
        <v>41</v>
      </c>
      <c r="G25" s="6">
        <v>47</v>
      </c>
      <c r="H25" s="6">
        <v>52</v>
      </c>
      <c r="I25" s="6">
        <v>44</v>
      </c>
      <c r="J25" s="6">
        <f aca="0">=SUM(C25:I25)</f>
        <v>317</v>
      </c>
      <c r="K25" s="6" t="s"/>
    </row>
    <row r="26" spans="1:11" customFormat="0" ht="15" customHeight="0" outlineLevel="0" collapsed="0">
      <c r="A26" s="6" t="s">
        <v>62</v>
      </c>
      <c r="B26" s="7" t="s">
        <v>63</v>
      </c>
      <c r="C26" s="6">
        <v>47</v>
      </c>
      <c r="D26" s="6">
        <v>69</v>
      </c>
      <c r="E26" s="6">
        <v>75</v>
      </c>
      <c r="F26" s="6">
        <v>61</v>
      </c>
      <c r="G26" s="6">
        <v>77</v>
      </c>
      <c r="H26" s="6">
        <v>70</v>
      </c>
      <c r="I26" s="6">
        <v>65</v>
      </c>
      <c r="J26" s="6">
        <f aca="0">=SUM(C26:I26)</f>
        <v>464</v>
      </c>
      <c r="K26" s="6" t="s"/>
    </row>
    <row r="27" spans="1:11" customFormat="0" ht="15" customHeight="0" outlineLevel="0" collapsed="0">
      <c r="A27" s="6" t="s">
        <v>64</v>
      </c>
      <c r="B27" s="7" t="s">
        <v>65</v>
      </c>
      <c r="C27" s="6">
        <v>65</v>
      </c>
      <c r="D27" s="6">
        <v>71</v>
      </c>
      <c r="E27" s="6">
        <v>67</v>
      </c>
      <c r="F27" s="6">
        <v>73</v>
      </c>
      <c r="G27" s="6">
        <v>69</v>
      </c>
      <c r="H27" s="6">
        <v>89</v>
      </c>
      <c r="I27" s="6">
        <v>67</v>
      </c>
      <c r="J27" s="6">
        <f aca="0">=SUM(C27:I27)</f>
        <v>501</v>
      </c>
      <c r="K27" s="6" t="s"/>
    </row>
    <row r="28" spans="1:11" customFormat="0" ht="15" customHeight="0" outlineLevel="0" collapsed="0">
      <c r="A28" s="6" t="s">
        <v>66</v>
      </c>
      <c r="B28" s="7" t="s">
        <v>67</v>
      </c>
      <c r="C28" s="6">
        <v>96</v>
      </c>
      <c r="D28" s="6">
        <v>82</v>
      </c>
      <c r="E28" s="6">
        <v>95</v>
      </c>
      <c r="F28" s="6">
        <v>77</v>
      </c>
      <c r="G28" s="6">
        <v>95</v>
      </c>
      <c r="H28" s="6">
        <v>93</v>
      </c>
      <c r="I28" s="6">
        <v>78</v>
      </c>
      <c r="J28" s="6">
        <f aca="0">=SUM(C28:I28)</f>
        <v>616</v>
      </c>
      <c r="K28" s="6" t="s"/>
    </row>
    <row r="29" spans="1:11" customFormat="0" ht="15" customHeight="0" outlineLevel="0" collapsed="0">
      <c r="A29" s="6" t="s">
        <v>68</v>
      </c>
      <c r="B29" s="7" t="s">
        <v>69</v>
      </c>
      <c r="C29" s="6">
        <v>59</v>
      </c>
      <c r="D29" s="6">
        <v>71</v>
      </c>
      <c r="E29" s="6">
        <v>70</v>
      </c>
      <c r="F29" s="6">
        <v>67</v>
      </c>
      <c r="G29" s="6">
        <v>66</v>
      </c>
      <c r="H29" s="6">
        <v>79</v>
      </c>
      <c r="I29" s="6">
        <v>85</v>
      </c>
      <c r="J29" s="6">
        <f aca="0">=SUM(C29:I29)</f>
        <v>497</v>
      </c>
      <c r="K29" s="6" t="s"/>
    </row>
    <row r="30" spans="1:11" customFormat="0" ht="15" customHeight="0" outlineLevel="0" collapsed="0">
      <c r="A30" s="6" t="s">
        <v>70</v>
      </c>
      <c r="B30" s="7" t="s">
        <v>71</v>
      </c>
      <c r="C30" s="6">
        <v>67</v>
      </c>
      <c r="D30" s="6">
        <v>70</v>
      </c>
      <c r="E30" s="6">
        <v>65</v>
      </c>
      <c r="F30" s="6">
        <v>76</v>
      </c>
      <c r="G30" s="6">
        <v>66</v>
      </c>
      <c r="H30" s="6">
        <v>78</v>
      </c>
      <c r="I30" s="6">
        <v>74</v>
      </c>
      <c r="J30" s="6">
        <f aca="0">=SUM(C30:I30)</f>
        <v>496</v>
      </c>
      <c r="K30" s="6" t="s"/>
    </row>
    <row r="31" spans="1:11" customFormat="0" ht="15" customHeight="0" outlineLevel="0" collapsed="0">
      <c r="A31" s="6" t="s">
        <v>72</v>
      </c>
      <c r="B31" s="7" t="s">
        <v>73</v>
      </c>
      <c r="C31" s="6">
        <v>61</v>
      </c>
      <c r="D31" s="6">
        <v>40</v>
      </c>
      <c r="E31" s="6">
        <v>45</v>
      </c>
      <c r="F31" s="6">
        <v>46</v>
      </c>
      <c r="G31" s="6">
        <v>39</v>
      </c>
      <c r="H31" s="6">
        <v>36</v>
      </c>
      <c r="I31" s="6">
        <v>42</v>
      </c>
      <c r="J31" s="6">
        <f aca="0">=SUM(C31:I31)</f>
        <v>309</v>
      </c>
      <c r="K31" s="6" t="s"/>
    </row>
  </sheetData>
  <printOptions horizontalCentered="0" verticalCentered="0" headings="0" gridLines="0" gridLinesSet="1"/>
  <pageMargins left="0.75" right="0.75" top="1" bottom="1" header="0.511811" footer="0.511811"/>
  <pageSetup paperSize="9" scale="100" fitToWidth="1" fitToHeight="1" pageOrder="downThenOver" orientation="portrait" blackAndWhite="0" draft="0" cellComments="none" horizontalDpi="300" verticalDpi="300" copies="1"/>
  <headerFooter differentOddEven="0" differentFirst="0">
    <oddHeader/>
    <oddFooter/>
  </headerFooter>
</worksheet>
</file>

<file path=xl/worksheets/sheet4.xml><?xml version="1.0" encoding="utf-8"?>
<worksheet xmlns="http://schemas.openxmlformats.org/spreadsheetml/2006/main">
  <sheetPr filterMode="0">
    <pageSetUpPr fitToPage="0"/>
  </sheetPr>
  <dimension ref="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/>
  </sheetViews>
  <sheetFormatPr defaultColWidth="8.67969" defaultRowHeight="15" customHeight="1" zeroHeight="0" outlineLevelRow="0" outlineLevelCol="0"/>
  <cols>
    <col min="1" max="1" width="100" style="32" customWidth="1" outlineLevel="0" collapsed="0"/>
  </cols>
  <sheetData>
    <row r="1" spans="1:1" customFormat="0" ht="17.15" customHeight="0" outlineLevel="0" collapsed="0">
      <c r="A1" s="9" t="s">
        <v>126</v>
      </c>
    </row>
  </sheetData>
  <printOptions horizontalCentered="0" verticalCentered="0" headings="0" gridLines="0" gridLinesSet="1"/>
  <pageMargins left="0.75" right="0.75" top="1" bottom="1" header="0.511811" footer="0.511811"/>
  <pageSetup paperSize="9" scale="100" fitToWidth="1" fitToHeight="1" pageOrder="downThenOver" orientation="portrait" blackAndWhite="0" draft="0" cellComments="none" horizontalDpi="300" verticalDpi="300" copies="1"/>
  <headerFooter differentOddEven="0" differentFirst="0">
    <oddHeader/>
    <oddFooter/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/>
  <dimension ref="D37"/>
  <sheetViews>
    <sheetView workbookViewId="0"/>
  </sheetViews>
  <cols>
    <col min="1" max="1" width="15.6719" customWidth="1"/>
    <col min="2" max="2" width="19.6719" customWidth="1"/>
    <col min="3" max="3" width="42.6719" customWidth="1"/>
    <col min="4" max="4" width="11.6719" customWidth="1"/>
  </cols>
  <sheetData>
    <row r="1" spans="1:4">
      <c r="A1" s="11" t="s">
        <v>103</v>
      </c>
      <c r="B1" t="s">
        <v>103</v>
      </c>
      <c r="C1" t="s">
        <v>103</v>
      </c>
      <c r="D1" t="s">
        <v>103</v>
      </c>
    </row>
    <row r="3" spans="1:1">
      <c r="A3" s="13" t="s">
        <v>98</v>
      </c>
    </row>
    <row r="4" spans="1:2">
      <c r="A4" s="12" t="s">
        <v>104</v>
      </c>
      <c r="B4">
        <f>=COUNTA(小測1_力與運動!B2:B31)</f>
        <v>30</v>
      </c>
    </row>
    <row r="5" spans="1:2">
      <c r="A5" s="12" t="s">
        <v>105</v>
      </c>
      <c r="B5">
        <f>=COUNT(小測1_力與運動!M2:M31)</f>
        <v>29</v>
      </c>
    </row>
    <row r="6" spans="1:2">
      <c r="A6" s="12" t="s">
        <v>106</v>
      </c>
      <c r="B6">
        <f>=COUNTIF(小測1_力與運動!M2:M31,"缺考")</f>
        <v>1</v>
      </c>
    </row>
    <row r="7" spans="1:2">
      <c r="A7" s="12" t="s">
        <v>107</v>
      </c>
      <c r="B7" s="15">
        <f>=ROUND(AVERAGE(小測1_力與運動!M2:M31),2)</f>
        <v>13.97</v>
      </c>
    </row>
    <row r="8" spans="1:2">
      <c r="A8" s="12" t="s">
        <v>108</v>
      </c>
      <c r="B8">
        <f>=MAX(小測1_力與運動!M2:M31)</f>
        <v>20</v>
      </c>
    </row>
    <row r="9" spans="1:2">
      <c r="A9" s="12" t="s">
        <v>109</v>
      </c>
      <c r="B9">
        <f>=MIN(小測1_力與運動!M2:M31)</f>
        <v>7</v>
      </c>
    </row>
    <row r="10" spans="1:2">
      <c r="A10" s="12" t="s">
        <v>110</v>
      </c>
      <c r="B10" s="14">
        <f>=COUNTIF(小測1_力與運動!M2:M31,"&gt;=10")/COUNT(小測1_力與運動!M2:M31)</f>
        <v>0.862068965517241</v>
      </c>
    </row>
    <row r="12" spans="1:1">
      <c r="A12" s="13" t="s">
        <v>99</v>
      </c>
    </row>
    <row r="13" spans="1:4">
      <c r="A13" s="20" t="s">
        <v>74</v>
      </c>
      <c r="B13" t="s">
        <v>111</v>
      </c>
      <c r="C13" t="s">
        <v>75</v>
      </c>
      <c r="D13" s="21" t="s">
        <v>76</v>
      </c>
    </row>
    <row r="14" spans="1:4">
      <c r="A14" s="28" t="s">
        <v>3</v>
      </c>
      <c r="B14" s="29">
        <f>=SUM(小測1_力與運動!C2:C31)/(2*COUNT(小測1_力與運動!C2:C31))</f>
        <v>0.862068965517241</v>
      </c>
      <c r="C14" s="30" t="s">
        <v>112</v>
      </c>
      <c r="D14" s="28" t="s">
        <v>78</v>
      </c>
    </row>
    <row r="15" spans="1:4">
      <c r="A15" s="25" t="s">
        <v>4</v>
      </c>
      <c r="B15" s="26">
        <f>=SUM(小測1_力與運動!D2:D31)/(2*COUNT(小測1_力與運動!D2:D31))</f>
        <v>0.879310344827586</v>
      </c>
      <c r="C15" s="27" t="s">
        <v>79</v>
      </c>
      <c r="D15" s="25" t="s">
        <v>78</v>
      </c>
    </row>
    <row r="16" spans="1:4">
      <c r="A16" s="25" t="s">
        <v>5</v>
      </c>
      <c r="B16" s="26">
        <f>=SUM(小測1_力與運動!E2:E31)/(2*COUNT(小測1_力與運動!E2:E31))</f>
        <v>0.896551724137931</v>
      </c>
      <c r="C16" s="27" t="s">
        <v>80</v>
      </c>
      <c r="D16" s="25" t="s">
        <v>81</v>
      </c>
    </row>
    <row r="17" spans="1:4">
      <c r="A17" s="25" t="s">
        <v>6</v>
      </c>
      <c r="B17" s="26">
        <f>=SUM(小測1_力與運動!F2:F31)/(2*COUNT(小測1_力與運動!F2:F31))</f>
        <v>0.810344827586207</v>
      </c>
      <c r="C17" s="27" t="s">
        <v>82</v>
      </c>
      <c r="D17" s="25" t="s">
        <v>78</v>
      </c>
    </row>
    <row r="18" spans="1:4">
      <c r="A18" s="25" t="s">
        <v>7</v>
      </c>
      <c r="B18" s="26">
        <f>=SUM(小測1_力與運動!G2:G31)/(2*COUNT(小測1_力與運動!G2:G31))</f>
        <v>0.724137931034483</v>
      </c>
      <c r="C18" s="27" t="s">
        <v>83</v>
      </c>
      <c r="D18" s="25" t="s">
        <v>78</v>
      </c>
    </row>
    <row r="19" spans="1:4">
      <c r="A19" s="25" t="s">
        <v>8</v>
      </c>
      <c r="B19" s="26">
        <f>=SUM(小測1_力與運動!H2:H31)/(2*COUNT(小測1_力與運動!H2:H31))</f>
        <v>0.56896551724138</v>
      </c>
      <c r="C19" s="27" t="s">
        <v>84</v>
      </c>
      <c r="D19" s="25" t="s">
        <v>85</v>
      </c>
    </row>
    <row r="20" spans="1:4">
      <c r="A20" s="25" t="s">
        <v>9</v>
      </c>
      <c r="B20" s="26">
        <f>=SUM(小測1_力與運動!I2:I31)/(2*COUNT(小測1_力與運動!I2:I31))</f>
        <v>0.655172413793104</v>
      </c>
      <c r="C20" s="27" t="s">
        <v>113</v>
      </c>
      <c r="D20" s="25" t="s">
        <v>81</v>
      </c>
    </row>
    <row r="21" spans="1:4">
      <c r="A21" s="25" t="s">
        <v>10</v>
      </c>
      <c r="B21" s="26">
        <f>=SUM(小測1_力與運動!J2:J31)/(2*COUNT(小測1_力與運動!J2:J31))</f>
        <v>0.672413793103448</v>
      </c>
      <c r="C21" s="27" t="s">
        <v>86</v>
      </c>
      <c r="D21" s="25" t="s">
        <v>87</v>
      </c>
    </row>
    <row r="22" spans="1:4">
      <c r="A22" s="25" t="s">
        <v>11</v>
      </c>
      <c r="B22" s="26">
        <f>=SUM(小測1_力與運動!K2:K31)/(2*COUNT(小測1_力與運動!K2:K31))</f>
        <v>0.431034482758621</v>
      </c>
      <c r="C22" s="27" t="s">
        <v>114</v>
      </c>
      <c r="D22" s="25" t="s">
        <v>81</v>
      </c>
    </row>
    <row r="23" spans="1:4">
      <c r="A23" s="22" t="s">
        <v>12</v>
      </c>
      <c r="B23" s="23">
        <f>=SUM(小測1_力與運動!L2:L31)/(2*COUNT(小測1_力與運動!L2:L31))</f>
        <v>0.482758620689655</v>
      </c>
      <c r="C23" s="24" t="s">
        <v>88</v>
      </c>
      <c r="D23" s="22" t="s">
        <v>85</v>
      </c>
    </row>
    <row r="25" spans="1:1">
      <c r="A25" s="13" t="s">
        <v>100</v>
      </c>
    </row>
    <row r="26" spans="1:3">
      <c r="A26" s="20" t="s">
        <v>74</v>
      </c>
      <c r="B26" s="20" t="s">
        <v>75</v>
      </c>
      <c r="C26" s="20" t="s">
        <v>111</v>
      </c>
    </row>
    <row r="27" spans="1:3">
      <c r="A27" s="21" t="str">
        <f t="array" ref="A27">=INDEX(A$14:A$23,MATCH(C27,B$14:B$23,0))</f>
        <v>Q9</v>
      </c>
      <c r="B27" t="str">
        <f t="array" ref="B27">=INDEX(C$14:C$23,MATCH(C27,B$14:B$23,0))</f>
        <v>加速度概念（a=Δv/t）</v>
      </c>
      <c r="C27" s="14">
        <f>=SMALL(B$14:B$23,1)</f>
        <v>0.431034482758621</v>
      </c>
    </row>
    <row r="28" spans="1:3">
      <c r="A28" s="21" t="str">
        <f t="array" ref="A28">=INDEX(A$14:A$23,MATCH(C28,B$14:B$23,0))</f>
        <v>Q10</v>
      </c>
      <c r="B28" t="str">
        <f t="array" ref="B28">=INDEX(C$14:C$23,MATCH(C28,B$14:B$23,0))</f>
        <v>安全帶與慣性</v>
      </c>
      <c r="C28" s="14">
        <f>=SMALL(B$14:B$23,2)</f>
        <v>0.482758620689655</v>
      </c>
    </row>
    <row r="30" spans="1:1">
      <c r="A30" s="13" t="s">
        <v>101</v>
      </c>
    </row>
    <row r="31" spans="1:3">
      <c r="A31" s="31" t="s">
        <v>1</v>
      </c>
      <c r="B31" s="31" t="s">
        <v>2</v>
      </c>
      <c r="C31" s="31" t="s">
        <v>115</v>
      </c>
    </row>
    <row r="32" spans="1:3">
      <c r="A32" t="s">
        <v>21</v>
      </c>
      <c r="B32" t="s">
        <v>22</v>
      </c>
      <c r="C32">
        <v>7</v>
      </c>
    </row>
    <row r="34" spans="1:1">
      <c r="A34" s="13" t="s">
        <v>102</v>
      </c>
    </row>
    <row r="35" spans="1:4">
      <c r="A35" s="17" t="s">
        <v>116</v>
      </c>
      <c r="B35" t="s">
        <v>116</v>
      </c>
      <c r="C35" t="s">
        <v>116</v>
      </c>
      <c r="D35" t="s">
        <v>116</v>
      </c>
    </row>
    <row r="36" spans="1:4">
      <c r="A36" s="17" t="s">
        <v>119</v>
      </c>
      <c r="B36" t="s">
        <v>117</v>
      </c>
      <c r="C36" t="s">
        <v>117</v>
      </c>
      <c r="D36" t="s">
        <v>117</v>
      </c>
    </row>
    <row r="37" spans="1:4">
      <c r="A37" s="17" t="s">
        <v>120</v>
      </c>
      <c r="B37" t="s">
        <v>118</v>
      </c>
      <c r="C37" t="s">
        <v>118</v>
      </c>
      <c r="D37" t="s">
        <v>118</v>
      </c>
    </row>
  </sheetData>
  <mergeCells count="4">
    <mergeCell ref="A1:D1"/>
    <mergeCell ref="A35:D35"/>
    <mergeCell ref="A36:D36"/>
    <mergeCell ref="A37:D37"/>
  </mergeCells>
  <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="http://purl.org/dc/elements/1.1/" xmlns:dcterms="http://purl.org/dc/terms/" xmlns:cp="http://schemas.openxmlformats.org/package/2006/metadata/core-properties">
  <dcterms:created xsi:type="dcterms:W3CDTF">2026-10-08T02:45:02Z</dcterms:created>
  <dcterms:modified xsi:type="dcterms:W3CDTF">2026-10-08T02:45:02Z</dcterms:modified>
</cp:coreProperties>
</file>